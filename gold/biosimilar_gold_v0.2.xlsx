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gold_values" sheetId="3" state="visible" r:id="rId5"/>
    <sheet name="studies" sheetId="4" state="visible" r:id="rId6"/>
    <sheet name="ambiguity_log" sheetId="5" state="visible" r:id="rId7"/>
    <sheet name="field_dictionary" sheetId="6" state="visible" r:id="rId8"/>
    <sheet name="products" sheetId="7" state="visible" r:id="rId9"/>
    <sheet name="sources" sheetId="8" state="visible" r:id="rId10"/>
    <sheet name="open_questions" sheetId="9" state="visible" r:id="rId11"/>
    <sheet name="synthetic_tests" sheetId="10" state="visible" r:id="rId12"/>
    <sheet name="enums" sheetId="11" state="visible" r:id="rId13"/>
  </sheets>
  <definedNames>
    <definedName function="false" hidden="true" localSheetId="2" name="_xlnm._FilterDatabase" vbProcedure="false">gold_values!$A$2:$AQ$151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<sst xmlns="http://schemas.openxmlformats.org/spreadsheetml/2006/main" count="3871" uniqueCount="1139">
  <si>
    <r>
      <rPr>
        <b val="true"/>
        <sz val="14"/>
        <rFont val="Noto Sans CJK SC"/>
        <family val="2"/>
      </rPr>
      <t xml:space="preserve">바이오시밀러 비교 에이전트 정답셋 </t>
    </r>
    <r>
      <rPr>
        <b val="true"/>
        <sz val="14"/>
        <rFont val="Arial"/>
        <family val="0"/>
        <charset val="1"/>
      </rPr>
      <t xml:space="preserve">v0.2 (2026-10-02)</t>
    </r>
  </si>
  <si>
    <t xml:space="preserve">이번 버전에서 한 일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</si>
  <si>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단계 </t>
    </r>
    <r>
      <rPr>
        <b val="true"/>
        <sz val="10"/>
        <rFont val="Arial"/>
        <family val="0"/>
        <charset val="1"/>
      </rPr>
      <t xml:space="preserve">studies</t>
    </r>
  </si>
  <si>
    <r>
      <rPr>
        <sz val="10"/>
        <rFont val="Arial"/>
        <family val="0"/>
        <charset val="1"/>
      </rPr>
      <t xml:space="preserve">EPAR 3</t>
    </r>
    <r>
      <rPr>
        <sz val="10"/>
        <rFont val="Noto Sans CJK SC"/>
        <family val="2"/>
      </rPr>
      <t xml:space="preserve">개를 직접 읽고 시험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개를 정리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평가 대상 </t>
    </r>
    <r>
      <rPr>
        <sz val="10"/>
        <rFont val="Arial"/>
        <family val="0"/>
        <charset val="1"/>
      </rPr>
      <t xml:space="preserve">= PK </t>
    </r>
    <r>
      <rPr>
        <sz val="10"/>
        <rFont val="Noto Sans CJK SC"/>
        <family val="2"/>
      </rPr>
      <t xml:space="preserve">유사성 시험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(SB17-1001, ABP 20190230, CT-P43 1.1 Part 2, CT-P43 1.2) + CT-P43 </t>
    </r>
    <r>
      <rPr>
        <sz val="10"/>
        <rFont val="Noto Sans CJK SC"/>
        <family val="2"/>
      </rPr>
      <t xml:space="preserve">통합 분석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</si>
  <si>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단계 라벨링</t>
    </r>
    <r>
      <rPr>
        <b val="true"/>
        <sz val="10"/>
        <rFont val="Arial"/>
        <family val="0"/>
        <charset val="1"/>
      </rPr>
      <t xml:space="preserve">(A)</t>
    </r>
  </si>
  <si>
    <r>
      <rPr>
        <sz val="10"/>
        <rFont val="Arial"/>
        <family val="0"/>
        <charset val="1"/>
      </rPr>
      <t xml:space="preserve">Claude</t>
    </r>
    <r>
      <rPr>
        <sz val="10"/>
        <rFont val="Noto Sans CJK SC"/>
        <family val="2"/>
      </rPr>
      <t xml:space="preserve">가 라벨러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시험 </t>
    </r>
    <r>
      <rPr>
        <sz val="10"/>
        <rFont val="Arial"/>
        <family val="0"/>
        <charset val="1"/>
      </rPr>
      <t xml:space="preserve">× 32</t>
    </r>
    <r>
      <rPr>
        <sz val="10"/>
        <rFont val="Noto Sans CJK SC"/>
        <family val="2"/>
      </rPr>
      <t xml:space="preserve">칸 </t>
    </r>
    <r>
      <rPr>
        <sz val="10"/>
        <rFont val="Arial"/>
        <family val="0"/>
        <charset val="1"/>
      </rPr>
      <t xml:space="preserve">= 128</t>
    </r>
    <r>
      <rPr>
        <sz val="10"/>
        <rFont val="Noto Sans CJK SC"/>
        <family val="2"/>
      </rPr>
      <t xml:space="preserve">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추가 분석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칸을 원문에서 직접 채움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이미지 표는 페이지를 렌더링해 눈으로 확인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</si>
  <si>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단계 규칙 수정</t>
    </r>
  </si>
  <si>
    <r>
      <rPr>
        <sz val="10"/>
        <rFont val="Noto Sans CJK SC"/>
        <family val="2"/>
      </rPr>
      <t xml:space="preserve">라벨링 중 판단이 갈린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가지를 </t>
    </r>
    <r>
      <rPr>
        <sz val="10"/>
        <rFont val="Arial"/>
        <family val="0"/>
        <charset val="1"/>
      </rPr>
      <t xml:space="preserve">ambiguity_log </t>
    </r>
    <r>
      <rPr>
        <sz val="10"/>
        <rFont val="Noto Sans CJK SC"/>
        <family val="2"/>
      </rPr>
      <t xml:space="preserve">탭에 기록하고 스키마에 반영</t>
    </r>
    <r>
      <rPr>
        <sz val="10"/>
        <rFont val="Arial"/>
        <family val="0"/>
        <charset val="1"/>
      </rPr>
      <t xml:space="preserve">(analysis_id, </t>
    </r>
    <r>
      <rPr>
        <sz val="10"/>
        <rFont val="Noto Sans CJK SC"/>
        <family val="2"/>
      </rPr>
      <t xml:space="preserve">비교 방향</t>
    </r>
    <r>
      <rPr>
        <sz val="10"/>
        <rFont val="Arial"/>
        <family val="0"/>
        <charset val="1"/>
      </rPr>
      <t xml:space="preserve">, N/n </t>
    </r>
    <r>
      <rPr>
        <sz val="10"/>
        <rFont val="Noto Sans CJK SC"/>
        <family val="2"/>
      </rPr>
      <t xml:space="preserve">분리</t>
    </r>
    <r>
      <rPr>
        <sz val="10"/>
        <rFont val="Arial"/>
        <family val="0"/>
        <charset val="1"/>
      </rPr>
      <t xml:space="preserve">, modality, ADA </t>
    </r>
    <r>
      <rPr>
        <sz val="10"/>
        <rFont val="Noto Sans CJK SC"/>
        <family val="2"/>
      </rPr>
      <t xml:space="preserve">정의 등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</si>
  <si>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단계</t>
    </r>
  </si>
  <si>
    <r>
      <rPr>
        <sz val="10"/>
        <rFont val="Noto Sans CJK SC"/>
        <family val="2"/>
      </rPr>
      <t xml:space="preserve">수정된 규칙으로 </t>
    </r>
    <r>
      <rPr>
        <sz val="10"/>
        <rFont val="Arial"/>
        <family val="0"/>
        <charset val="1"/>
      </rPr>
      <t xml:space="preserve">ABP 654·CT-P43</t>
    </r>
    <r>
      <rPr>
        <sz val="10"/>
        <rFont val="Noto Sans CJK SC"/>
        <family val="2"/>
      </rPr>
      <t xml:space="preserve">까지 라벨링 완료</t>
    </r>
    <r>
      <rPr>
        <sz val="10"/>
        <rFont val="Arial"/>
        <family val="0"/>
        <charset val="1"/>
      </rPr>
      <t xml:space="preserve">. B </t>
    </r>
    <r>
      <rPr>
        <sz val="10"/>
        <rFont val="Noto Sans CJK SC"/>
        <family val="2"/>
      </rPr>
      <t xml:space="preserve">라벨러용 블라인드 시트는 별도 파일</t>
    </r>
  </si>
  <si>
    <t xml:space="preserve">아직 정답이 아닌 이유</t>
  </si>
  <si>
    <t xml:space="preserve">AI_DRAFT</t>
  </si>
  <si>
    <r>
      <rPr>
        <sz val="10"/>
        <rFont val="Noto Sans CJK SC"/>
        <family val="2"/>
      </rPr>
      <t xml:space="preserve">모든 칸은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(A)</t>
    </r>
    <r>
      <rPr>
        <sz val="10"/>
        <rFont val="Noto Sans CJK SC"/>
        <family val="2"/>
      </rPr>
      <t xml:space="preserve">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같은 계열 모델로 에이전트를 만들 경우 같은 실수를 공유할 수 있으므로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사람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의 독립 라벨과 일치하거나 조정된 칸만 </t>
    </r>
    <r>
      <rPr>
        <sz val="10"/>
        <rFont val="Arial"/>
        <family val="0"/>
        <charset val="1"/>
      </rPr>
      <t xml:space="preserve">HUMAN</t>
    </r>
    <r>
      <rPr>
        <sz val="10"/>
        <rFont val="Noto Sans CJK SC"/>
        <family val="2"/>
      </rPr>
      <t xml:space="preserve">으로 승격해 정답으로 쓴다</t>
    </r>
  </si>
  <si>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작업</t>
    </r>
  </si>
  <si>
    <r>
      <rPr>
        <sz val="10"/>
        <rFont val="Arial"/>
        <family val="0"/>
        <charset val="1"/>
      </rPr>
      <t xml:space="preserve">B_blind_labeling_v0.2.xlsx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값을 보지 않고 채운 뒤</t>
    </r>
    <r>
      <rPr>
        <sz val="10"/>
        <rFont val="Arial"/>
        <family val="0"/>
        <charset val="1"/>
      </rPr>
      <t xml:space="preserve">, B_status·B_value_num·B_ci_low·B_ci_high·B_pdf_page</t>
    </r>
    <r>
      <rPr>
        <sz val="10"/>
        <rFont val="Noto Sans CJK SC"/>
        <family val="2"/>
      </rPr>
      <t xml:space="preserve">를 이 파일 </t>
    </r>
    <r>
      <rPr>
        <sz val="10"/>
        <rFont val="Arial"/>
        <family val="0"/>
        <charset val="1"/>
      </rPr>
      <t xml:space="preserve">gold_values</t>
    </r>
    <r>
      <rPr>
        <sz val="10"/>
        <rFont val="Noto Sans CJK SC"/>
        <family val="2"/>
      </rPr>
      <t xml:space="preserve">에 붙여넣으면 </t>
    </r>
    <r>
      <rPr>
        <sz val="10"/>
        <rFont val="Arial"/>
        <family val="0"/>
        <charset val="1"/>
      </rPr>
      <t xml:space="preserve">agree </t>
    </r>
    <r>
      <rPr>
        <sz val="10"/>
        <rFont val="Noto Sans CJK SC"/>
        <family val="2"/>
      </rPr>
      <t xml:space="preserve">열과 </t>
    </r>
    <r>
      <rPr>
        <sz val="10"/>
        <rFont val="Arial"/>
        <family val="0"/>
        <charset val="1"/>
      </rPr>
      <t xml:space="preserve">summary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일치율이 자동 계산된다</t>
    </r>
  </si>
  <si>
    <t xml:space="preserve">우선 확인</t>
  </si>
  <si>
    <r>
      <rPr>
        <sz val="10"/>
        <rFont val="Arial"/>
        <family val="0"/>
        <charset val="1"/>
      </rPr>
      <t xml:space="preserve">PENDING 1</t>
    </r>
    <r>
      <rPr>
        <sz val="10"/>
        <rFont val="Noto Sans CJK SC"/>
        <family val="2"/>
      </rPr>
      <t xml:space="preserve">칸</t>
    </r>
    <r>
      <rPr>
        <sz val="10"/>
        <rFont val="Arial"/>
        <family val="0"/>
        <charset val="1"/>
      </rPr>
      <t xml:space="preserve">(CT-P43 1.1 EU/US </t>
    </r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), IMAGE </t>
    </r>
    <r>
      <rPr>
        <sz val="10"/>
        <rFont val="Noto Sans CJK SC"/>
        <family val="2"/>
      </rPr>
      <t xml:space="preserve">근거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자동 대조 불가</t>
    </r>
    <r>
      <rPr>
        <sz val="10"/>
        <rFont val="Arial"/>
        <family val="0"/>
        <charset val="1"/>
      </rPr>
      <t xml:space="preserve">)</t>
    </r>
  </si>
  <si>
    <t xml:space="preserve">탭</t>
  </si>
  <si>
    <t xml:space="preserve">summary</t>
  </si>
  <si>
    <r>
      <rPr>
        <sz val="10"/>
        <rFont val="Noto Sans CJK SC"/>
        <family val="2"/>
      </rPr>
      <t xml:space="preserve">충족률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자동 대조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일치율</t>
    </r>
  </si>
  <si>
    <t xml:space="preserve">gold_values</t>
  </si>
  <si>
    <r>
      <rPr>
        <sz val="10"/>
        <rFont val="Noto Sans CJK SC"/>
        <family val="2"/>
      </rPr>
      <t xml:space="preserve">정답 본체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행 </t>
    </r>
    <r>
      <rPr>
        <sz val="10"/>
        <rFont val="Arial"/>
        <family val="0"/>
        <charset val="1"/>
      </rPr>
      <t xml:space="preserve">= 1</t>
    </r>
    <r>
      <rPr>
        <sz val="10"/>
        <rFont val="Noto Sans CJK SC"/>
        <family val="2"/>
      </rPr>
      <t xml:space="preserve">칸</t>
    </r>
    <r>
      <rPr>
        <sz val="10"/>
        <rFont val="Arial"/>
        <family val="0"/>
        <charset val="1"/>
      </rPr>
      <t xml:space="preserve">. CORE = </t>
    </r>
    <r>
      <rPr>
        <sz val="10"/>
        <rFont val="Noto Sans CJK SC"/>
        <family val="2"/>
      </rPr>
      <t xml:space="preserve">평가 격자</t>
    </r>
    <r>
      <rPr>
        <sz val="10"/>
        <rFont val="Arial"/>
        <family val="0"/>
        <charset val="1"/>
      </rPr>
      <t xml:space="preserve">, EXTRA = </t>
    </r>
    <r>
      <rPr>
        <sz val="10"/>
        <rFont val="Noto Sans CJK SC"/>
        <family val="2"/>
      </rPr>
      <t xml:space="preserve">추가 분석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함정 테스트용</t>
    </r>
    <r>
      <rPr>
        <sz val="10"/>
        <rFont val="Arial"/>
        <family val="0"/>
        <charset val="1"/>
      </rPr>
      <t xml:space="preserve">), EXAMPLE = </t>
    </r>
    <r>
      <rPr>
        <sz val="10"/>
        <rFont val="Noto Sans CJK SC"/>
        <family val="2"/>
      </rPr>
      <t xml:space="preserve">형식 예시</t>
    </r>
  </si>
  <si>
    <t xml:space="preserve">studies</t>
  </si>
  <si>
    <t xml:space="preserve">제품별 시험 목록과 평가 대상 지정</t>
  </si>
  <si>
    <t xml:space="preserve">field_dictionary</t>
  </si>
  <si>
    <r>
      <rPr>
        <sz val="10"/>
        <rFont val="Noto Sans CJK SC"/>
        <family val="2"/>
      </rPr>
      <t xml:space="preserve">필드 정의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라벨링 규칙 </t>
    </r>
    <r>
      <rPr>
        <sz val="10"/>
        <rFont val="Arial"/>
        <family val="0"/>
        <charset val="1"/>
      </rPr>
      <t xml:space="preserve">(v0.2 </t>
    </r>
    <r>
      <rPr>
        <sz val="10"/>
        <rFont val="Noto Sans CJK SC"/>
        <family val="2"/>
      </rPr>
      <t xml:space="preserve">변경 열 포함</t>
    </r>
    <r>
      <rPr>
        <sz val="10"/>
        <rFont val="Arial"/>
        <family val="0"/>
        <charset val="1"/>
      </rPr>
      <t xml:space="preserve">)</t>
    </r>
  </si>
  <si>
    <t xml:space="preserve">ambiguity_log</t>
  </si>
  <si>
    <t xml:space="preserve">파일럿에서 발견한 모호성과 규칙 변경 근거</t>
  </si>
  <si>
    <t xml:space="preserve">open_questions / synthetic_tests</t>
  </si>
  <si>
    <r>
      <rPr>
        <sz val="10"/>
        <rFont val="Noto Sans CJK SC"/>
        <family val="2"/>
      </rPr>
      <t xml:space="preserve">열린 질문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함정 테스트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이번 </t>
    </r>
    <r>
      <rPr>
        <sz val="10"/>
        <rFont val="Arial"/>
        <family val="0"/>
        <charset val="1"/>
      </rPr>
      <t xml:space="preserve">EPAR </t>
    </r>
    <r>
      <rPr>
        <sz val="10"/>
        <rFont val="Noto Sans CJK SC"/>
        <family val="2"/>
      </rPr>
      <t xml:space="preserve">사례로 갱신</t>
    </r>
    <r>
      <rPr>
        <sz val="10"/>
        <rFont val="Arial"/>
        <family val="0"/>
        <charset val="1"/>
      </rPr>
      <t xml:space="preserve">)</t>
    </r>
  </si>
  <si>
    <t xml:space="preserve">products / sources</t>
  </si>
  <si>
    <r>
      <rPr>
        <sz val="10"/>
        <rFont val="Noto Sans CJK SC"/>
        <family val="2"/>
      </rPr>
      <t xml:space="preserve">제품 매핑</t>
    </r>
    <r>
      <rPr>
        <sz val="10"/>
        <rFont val="Arial"/>
        <family val="0"/>
        <charset val="1"/>
      </rPr>
      <t xml:space="preserve">(AUTO)</t>
    </r>
    <r>
      <rPr>
        <sz val="10"/>
        <rFont val="Noto Sans CJK SC"/>
        <family val="2"/>
      </rPr>
      <t xml:space="preserve">과 원문 해시</t>
    </r>
  </si>
  <si>
    <t xml:space="preserve">enums</t>
  </si>
  <si>
    <t xml:space="preserve">허용 코드</t>
  </si>
  <si>
    <t xml:space="preserve">키 구조</t>
  </si>
  <si>
    <t xml:space="preserve">정답 키</t>
  </si>
  <si>
    <r>
      <rPr>
        <sz val="10"/>
        <rFont val="Arial"/>
        <family val="0"/>
        <charset val="1"/>
      </rPr>
      <t xml:space="preserve">(study_key, field_id, analysis_id, arm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comparison, analysis_set, timepoint). analysis_id</t>
    </r>
    <r>
      <rPr>
        <sz val="10"/>
        <rFont val="Noto Sans CJK SC"/>
        <family val="2"/>
      </rPr>
      <t xml:space="preserve">가 없으면 같은 칸에 정답이 여러 개 생긴다</t>
    </r>
    <r>
      <rPr>
        <sz val="10"/>
        <rFont val="Arial"/>
        <family val="0"/>
        <charset val="1"/>
      </rPr>
      <t xml:space="preserve">(A1)</t>
    </r>
  </si>
  <si>
    <t xml:space="preserve">범례</t>
  </si>
  <si>
    <t xml:space="preserve">노란 칸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</si>
  <si>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가 입력할 칸</t>
    </r>
  </si>
  <si>
    <t xml:space="preserve">회색 칸</t>
  </si>
  <si>
    <t xml:space="preserve">자동 수식</t>
  </si>
  <si>
    <t xml:space="preserve">주황 칸</t>
  </si>
  <si>
    <r>
      <rPr>
        <sz val="10"/>
        <rFont val="Noto Sans CJK SC"/>
        <family val="2"/>
      </rPr>
      <t xml:space="preserve">사람 판정이 필요한 </t>
    </r>
    <r>
      <rPr>
        <sz val="10"/>
        <rFont val="Arial"/>
        <family val="0"/>
        <charset val="1"/>
      </rPr>
      <t xml:space="preserve">PENDING </t>
    </r>
    <r>
      <rPr>
        <sz val="10"/>
        <rFont val="Noto Sans CJK SC"/>
        <family val="2"/>
      </rPr>
      <t xml:space="preserve">행</t>
    </r>
  </si>
  <si>
    <t xml:space="preserve">연녹색 키</t>
  </si>
  <si>
    <r>
      <rPr>
        <sz val="10"/>
        <rFont val="Arial"/>
        <family val="0"/>
        <charset val="1"/>
      </rPr>
      <t xml:space="preserve">EXTRA </t>
    </r>
    <r>
      <rPr>
        <sz val="10"/>
        <rFont val="Noto Sans CJK SC"/>
        <family val="2"/>
      </rPr>
      <t xml:space="preserve">행</t>
    </r>
  </si>
  <si>
    <t xml:space="preserve">파란 기울임 행</t>
  </si>
  <si>
    <t xml:space="preserve">형식 예시</t>
  </si>
  <si>
    <r>
      <rPr>
        <b val="true"/>
        <sz val="11"/>
        <color rgb="FF1F4E5F"/>
        <rFont val="Noto Sans CJK SC"/>
        <family val="2"/>
      </rPr>
      <t xml:space="preserve">채점 규칙 </t>
    </r>
    <r>
      <rPr>
        <b val="true"/>
        <sz val="11"/>
        <color rgb="FF1F4E5F"/>
        <rFont val="Arial"/>
        <family val="0"/>
        <charset val="1"/>
      </rPr>
      <t xml:space="preserve">(</t>
    </r>
    <r>
      <rPr>
        <b val="true"/>
        <sz val="11"/>
        <color rgb="FF1F4E5F"/>
        <rFont val="Noto Sans CJK SC"/>
        <family val="2"/>
      </rPr>
      <t xml:space="preserve">초안</t>
    </r>
    <r>
      <rPr>
        <b val="true"/>
        <sz val="11"/>
        <color rgb="FF1F4E5F"/>
        <rFont val="Arial"/>
        <family val="0"/>
        <charset val="1"/>
      </rPr>
      <t xml:space="preserve">)</t>
    </r>
  </si>
  <si>
    <t xml:space="preserve">숫자</t>
  </si>
  <si>
    <r>
      <rPr>
        <sz val="10"/>
        <rFont val="Noto Sans CJK SC"/>
        <family val="2"/>
      </rPr>
      <t xml:space="preserve">키 일치 </t>
    </r>
    <r>
      <rPr>
        <sz val="10"/>
        <rFont val="Arial"/>
        <family val="0"/>
        <charset val="1"/>
      </rPr>
      <t xml:space="preserve">+ |</t>
    </r>
    <r>
      <rPr>
        <sz val="10"/>
        <rFont val="Noto Sans CJK SC"/>
        <family val="2"/>
      </rPr>
      <t xml:space="preserve">차이</t>
    </r>
    <r>
      <rPr>
        <sz val="10"/>
        <rFont val="Arial"/>
        <family val="0"/>
        <charset val="1"/>
      </rPr>
      <t xml:space="preserve">| ≤ 0.01 (</t>
    </r>
    <r>
      <rPr>
        <sz val="10"/>
        <rFont val="Noto Sans CJK SC"/>
        <family val="2"/>
      </rPr>
      <t xml:space="preserve">원문 자릿수 기준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신뢰구간 동일</t>
    </r>
  </si>
  <si>
    <t xml:space="preserve">상태</t>
  </si>
  <si>
    <r>
      <rPr>
        <sz val="10"/>
        <rFont val="Arial"/>
        <family val="0"/>
        <charset val="1"/>
      </rPr>
      <t xml:space="preserve">status </t>
    </r>
    <r>
      <rPr>
        <sz val="10"/>
        <rFont val="Noto Sans CJK SC"/>
        <family val="2"/>
      </rPr>
      <t xml:space="preserve">정확 일치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정답이 </t>
    </r>
    <r>
      <rPr>
        <sz val="10"/>
        <rFont val="Arial"/>
        <family val="0"/>
        <charset val="1"/>
      </rPr>
      <t xml:space="preserve">NOT_FOUND</t>
    </r>
    <r>
      <rPr>
        <sz val="10"/>
        <rFont val="Noto Sans CJK SC"/>
        <family val="2"/>
      </rPr>
      <t xml:space="preserve">인데 숫자를 내면 할루시네이션으로 별도 집계</t>
    </r>
  </si>
  <si>
    <t xml:space="preserve">출처</t>
  </si>
  <si>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source_id + pdf_page(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alt_locations) ±1. TEXT </t>
    </r>
    <r>
      <rPr>
        <sz val="10"/>
        <rFont val="Noto Sans CJK SC"/>
        <family val="2"/>
      </rPr>
      <t xml:space="preserve">근거는 인용 페이지에 값 문자열이 있는지 코드로 확인</t>
    </r>
  </si>
  <si>
    <r>
      <rPr>
        <b val="true"/>
        <sz val="14"/>
        <rFont val="Noto Sans CJK SC"/>
        <family val="2"/>
      </rPr>
      <t xml:space="preserve">정답셋 </t>
    </r>
    <r>
      <rPr>
        <b val="true"/>
        <sz val="14"/>
        <rFont val="Arial"/>
        <family val="0"/>
        <charset val="1"/>
      </rPr>
      <t xml:space="preserve">v0.2 </t>
    </r>
    <r>
      <rPr>
        <b val="true"/>
        <sz val="14"/>
        <rFont val="Noto Sans CJK SC"/>
        <family val="2"/>
      </rPr>
      <t xml:space="preserve">현황 </t>
    </r>
    <r>
      <rPr>
        <b val="true"/>
        <sz val="14"/>
        <rFont val="Arial"/>
        <family val="0"/>
        <charset val="1"/>
      </rPr>
      <t xml:space="preserve">(in_eval=Y · CORE </t>
    </r>
    <r>
      <rPr>
        <b val="true"/>
        <sz val="14"/>
        <rFont val="Noto Sans CJK SC"/>
        <family val="2"/>
      </rPr>
      <t xml:space="preserve">행</t>
    </r>
    <r>
      <rPr>
        <b val="true"/>
        <sz val="14"/>
        <rFont val="Arial"/>
        <family val="0"/>
        <charset val="1"/>
      </rPr>
      <t xml:space="preserve">)</t>
    </r>
  </si>
  <si>
    <t xml:space="preserve">전체 현황</t>
  </si>
  <si>
    <t xml:space="preserve">지표</t>
  </si>
  <si>
    <t xml:space="preserve">값</t>
  </si>
  <si>
    <t xml:space="preserve">설명</t>
  </si>
  <si>
    <t xml:space="preserve">평가 대상 칸 수</t>
  </si>
  <si>
    <r>
      <rPr>
        <sz val="10"/>
        <rFont val="Arial"/>
        <family val="0"/>
        <charset val="1"/>
      </rPr>
      <t xml:space="preserve">CORE </t>
    </r>
    <r>
      <rPr>
        <sz val="10"/>
        <rFont val="Noto Sans CJK SC"/>
        <family val="2"/>
      </rPr>
      <t xml:space="preserve">격자 </t>
    </r>
    <r>
      <rPr>
        <sz val="10"/>
        <rFont val="Arial"/>
        <family val="0"/>
        <charset val="1"/>
      </rPr>
      <t xml:space="preserve">(4</t>
    </r>
    <r>
      <rPr>
        <sz val="10"/>
        <rFont val="Noto Sans CJK SC"/>
        <family val="2"/>
      </rPr>
      <t xml:space="preserve">개 시험 </t>
    </r>
    <r>
      <rPr>
        <sz val="10"/>
        <rFont val="Arial"/>
        <family val="0"/>
        <charset val="1"/>
      </rPr>
      <t xml:space="preserve">× 32</t>
    </r>
    <r>
      <rPr>
        <sz val="10"/>
        <rFont val="Noto Sans CJK SC"/>
        <family val="2"/>
      </rPr>
      <t xml:space="preserve">칸</t>
    </r>
    <r>
      <rPr>
        <sz val="10"/>
        <rFont val="Arial"/>
        <family val="0"/>
        <charset val="1"/>
      </rPr>
      <t xml:space="preserve">)</t>
    </r>
  </si>
  <si>
    <t xml:space="preserve">REPORTED</t>
  </si>
  <si>
    <t xml:space="preserve">공개 문서에 값이 있음</t>
  </si>
  <si>
    <t xml:space="preserve">REDACTED</t>
  </si>
  <si>
    <t xml:space="preserve">가림 처리</t>
  </si>
  <si>
    <t xml:space="preserve">NOT_FOUND</t>
  </si>
  <si>
    <t xml:space="preserve">확인 범위에서 찾지 못함</t>
  </si>
  <si>
    <t xml:space="preserve">NOT_APPLICABLE</t>
  </si>
  <si>
    <t xml:space="preserve">해당 없음</t>
  </si>
  <si>
    <t xml:space="preserve">PENDING</t>
  </si>
  <si>
    <t xml:space="preserve">사람 판정 필요</t>
  </si>
  <si>
    <t xml:space="preserve">라벨 진행률</t>
  </si>
  <si>
    <r>
      <rPr>
        <sz val="10"/>
        <rFont val="Arial"/>
        <family val="0"/>
        <charset val="1"/>
      </rPr>
      <t xml:space="preserve">PENDING</t>
    </r>
    <r>
      <rPr>
        <sz val="10"/>
        <rFont val="Noto Sans CJK SC"/>
        <family val="2"/>
      </rPr>
      <t xml:space="preserve">이 아닌 칸 비율</t>
    </r>
  </si>
  <si>
    <t xml:space="preserve">필드 충족률</t>
  </si>
  <si>
    <t xml:space="preserve">REPORTED ÷ (REPORTED+REDACTED+NOT_FOUND)</t>
  </si>
  <si>
    <t xml:space="preserve">시험별</t>
  </si>
  <si>
    <t xml:space="preserve">구분</t>
  </si>
  <si>
    <t xml:space="preserve">전체</t>
  </si>
  <si>
    <t xml:space="preserve">충족률</t>
  </si>
  <si>
    <t xml:space="preserve">ST_SB17_1001</t>
  </si>
  <si>
    <t xml:space="preserve">ST_ABP_20190230</t>
  </si>
  <si>
    <t xml:space="preserve">ST_CTP43_1_1_P2</t>
  </si>
  <si>
    <t xml:space="preserve">ST_CTP43_1_2</t>
  </si>
  <si>
    <t xml:space="preserve">도메인별</t>
  </si>
  <si>
    <t xml:space="preserve">DESIGN</t>
  </si>
  <si>
    <t xml:space="preserve">PK</t>
  </si>
  <si>
    <t xml:space="preserve">IMMUNO</t>
  </si>
  <si>
    <r>
      <rPr>
        <b val="true"/>
        <sz val="11"/>
        <color rgb="FF1F4E5F"/>
        <rFont val="Noto Sans CJK SC"/>
        <family val="2"/>
      </rPr>
      <t xml:space="preserve">검증 지표 </t>
    </r>
    <r>
      <rPr>
        <b val="true"/>
        <sz val="11"/>
        <color rgb="FF1F4E5F"/>
        <rFont val="Arial"/>
        <family val="0"/>
        <charset val="1"/>
      </rPr>
      <t xml:space="preserve">(EXAMPLE </t>
    </r>
    <r>
      <rPr>
        <b val="true"/>
        <sz val="11"/>
        <color rgb="FF1F4E5F"/>
        <rFont val="Noto Sans CJK SC"/>
        <family val="2"/>
      </rPr>
      <t xml:space="preserve">제외 전체 행</t>
    </r>
    <r>
      <rPr>
        <b val="true"/>
        <sz val="11"/>
        <color rgb="FF1F4E5F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</si>
  <si>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텍스트 자동 대조 </t>
    </r>
    <r>
      <rPr>
        <sz val="10"/>
        <rFont val="Arial"/>
        <family val="0"/>
        <charset val="1"/>
      </rPr>
      <t xml:space="preserve">PASS</t>
    </r>
  </si>
  <si>
    <r>
      <rPr>
        <sz val="10"/>
        <rFont val="Noto Sans CJK SC"/>
        <family val="2"/>
      </rPr>
      <t xml:space="preserve">인용문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숫자가 인용 페이지 텍스트 층에 실제로 있음</t>
    </r>
  </si>
  <si>
    <r>
      <rPr>
        <sz val="10"/>
        <rFont val="Noto Sans CJK SC"/>
        <family val="2"/>
      </rPr>
      <t xml:space="preserve">텍스트 자동 대조 </t>
    </r>
    <r>
      <rPr>
        <sz val="10"/>
        <rFont val="Arial"/>
        <family val="0"/>
        <charset val="1"/>
      </rPr>
      <t xml:space="preserve">FAIL</t>
    </r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</si>
  <si>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이어야 함</t>
    </r>
  </si>
  <si>
    <r>
      <rPr>
        <sz val="10"/>
        <rFont val="Noto Sans CJK SC"/>
        <family val="2"/>
      </rPr>
      <t xml:space="preserve">이미지 근거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시각 확인 필요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</si>
  <si>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자동 대조 불가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검토 때 우선 확인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</si>
  <si>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일치율</t>
    </r>
  </si>
  <si>
    <r>
      <rPr>
        <sz val="10"/>
        <rFont val="Arial"/>
        <family val="0"/>
        <charset val="1"/>
      </rPr>
      <t xml:space="preserve">B_status</t>
    </r>
    <r>
      <rPr>
        <sz val="10"/>
        <rFont val="Noto Sans CJK SC"/>
        <family val="2"/>
      </rPr>
      <t xml:space="preserve">를 입력한 행 중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와 일치 </t>
    </r>
    <r>
      <rPr>
        <sz val="10"/>
        <rFont val="Arial"/>
        <family val="0"/>
        <charset val="1"/>
      </rPr>
      <t xml:space="preserve">(B </t>
    </r>
    <r>
      <rPr>
        <sz val="10"/>
        <rFont val="Noto Sans CJK SC"/>
        <family val="2"/>
      </rPr>
      <t xml:space="preserve">입력 전에는 </t>
    </r>
    <r>
      <rPr>
        <sz val="10"/>
        <rFont val="Arial"/>
        <family val="0"/>
        <charset val="1"/>
      </rPr>
      <t xml:space="preserve">'-')</t>
    </r>
  </si>
  <si>
    <t xml:space="preserve">이전 파일럿 추출과 일치</t>
  </si>
  <si>
    <r>
      <rPr>
        <sz val="10"/>
        <rFont val="Arial"/>
        <family val="0"/>
        <charset val="1"/>
      </rPr>
      <t xml:space="preserve">observations.jsonl 8</t>
    </r>
    <r>
      <rPr>
        <sz val="10"/>
        <rFont val="Noto Sans CJK SC"/>
        <family val="2"/>
      </rPr>
      <t xml:space="preserve">건 재추출 대조</t>
    </r>
  </si>
  <si>
    <r>
      <rPr>
        <sz val="10"/>
        <rFont val="Noto Sans CJK SC"/>
        <family val="2"/>
      </rPr>
      <t xml:space="preserve">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출처 오류 칸</t>
    </r>
  </si>
  <si>
    <r>
      <rPr>
        <sz val="10"/>
        <rFont val="Arial"/>
        <family val="0"/>
        <charset val="1"/>
      </rPr>
      <t xml:space="preserve">AI_DRAFT </t>
    </r>
    <r>
      <rPr>
        <sz val="10"/>
        <rFont val="Noto Sans CJK SC"/>
        <family val="2"/>
      </rPr>
      <t xml:space="preserve">칸</t>
    </r>
  </si>
  <si>
    <t xml:space="preserve">사람 검증 전 칸</t>
  </si>
  <si>
    <r>
      <rPr>
        <sz val="10"/>
        <rFont val="Arial"/>
        <family val="0"/>
        <charset val="1"/>
      </rPr>
      <t xml:space="preserve">HUMAN </t>
    </r>
    <r>
      <rPr>
        <sz val="10"/>
        <rFont val="Noto Sans CJK SC"/>
        <family val="2"/>
      </rPr>
      <t xml:space="preserve">칸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</si>
  <si>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검증 후 승격</t>
    </r>
  </si>
  <si>
    <t xml:space="preserve">키</t>
  </si>
  <si>
    <t xml:space="preserve">정답 값</t>
  </si>
  <si>
    <t xml:space="preserve">검증</t>
  </si>
  <si>
    <t xml:space="preserve">gold_id</t>
  </si>
  <si>
    <t xml:space="preserve">product_id</t>
  </si>
  <si>
    <t xml:space="preserve">study_key</t>
  </si>
  <si>
    <t xml:space="preserve">field_id</t>
  </si>
  <si>
    <t xml:space="preserve">domain</t>
  </si>
  <si>
    <t xml:space="preserve">level</t>
  </si>
  <si>
    <t xml:space="preserve">analysis_id</t>
  </si>
  <si>
    <t xml:space="preserve">arm</t>
  </si>
  <si>
    <t xml:space="preserve">comparison</t>
  </si>
  <si>
    <t xml:space="preserve">analysis_set</t>
  </si>
  <si>
    <t xml:space="preserve">timepoint</t>
  </si>
  <si>
    <t xml:space="preserve">row_type</t>
  </si>
  <si>
    <t xml:space="preserve">status</t>
  </si>
  <si>
    <t xml:space="preserve">value_text</t>
  </si>
  <si>
    <t xml:space="preserve">value_num</t>
  </si>
  <si>
    <t xml:space="preserve">ci_low</t>
  </si>
  <si>
    <t xml:space="preserve">ci_high</t>
  </si>
  <si>
    <t xml:space="preserve">unit</t>
  </si>
  <si>
    <t xml:space="preserve">n_test</t>
  </si>
  <si>
    <t xml:space="preserve">n_ref</t>
  </si>
  <si>
    <t xml:space="preserve">denominator</t>
  </si>
  <si>
    <t xml:space="preserve">source_id</t>
  </si>
  <si>
    <t xml:space="preserve">pdf_page</t>
  </si>
  <si>
    <t xml:space="preserve">printed_page</t>
  </si>
  <si>
    <t xml:space="preserve">locator</t>
  </si>
  <si>
    <t xml:space="preserve">modality</t>
  </si>
  <si>
    <t xml:space="preserve">evidence_quote</t>
  </si>
  <si>
    <t xml:space="preserve">alt_locations</t>
  </si>
  <si>
    <t xml:space="preserve">searched_scope</t>
  </si>
  <si>
    <t xml:space="preserve">auto_text_check</t>
  </si>
  <si>
    <t xml:space="preserve">B_status</t>
  </si>
  <si>
    <t xml:space="preserve">B_value_num</t>
  </si>
  <si>
    <t xml:space="preserve">B_ci_low</t>
  </si>
  <si>
    <t xml:space="preserve">B_ci_high</t>
  </si>
  <si>
    <t xml:space="preserve">B_pdf_page</t>
  </si>
  <si>
    <t xml:space="preserve">agree</t>
  </si>
  <si>
    <t xml:space="preserve">cross_source_id</t>
  </si>
  <si>
    <t xml:space="preserve">cross_value</t>
  </si>
  <si>
    <t xml:space="preserve">cross_match</t>
  </si>
  <si>
    <t xml:space="preserve">gold_tier</t>
  </si>
  <si>
    <t xml:space="preserve">in_eval</t>
  </si>
  <si>
    <t xml:space="preserve">key_check</t>
  </si>
  <si>
    <t xml:space="preserve">notes</t>
  </si>
  <si>
    <t xml:space="preserve">G-EX-01</t>
  </si>
  <si>
    <t xml:space="preserve">P_ABP654</t>
  </si>
  <si>
    <t xml:space="preserve">ST_ABP_20200417</t>
  </si>
  <si>
    <t xml:space="preserve">pk_gmr_auc_tau</t>
  </si>
  <si>
    <t xml:space="preserve">PRIMARY</t>
  </si>
  <si>
    <t xml:space="preserve">NA</t>
  </si>
  <si>
    <t xml:space="preserve">SWITCH_vs_CONT</t>
  </si>
  <si>
    <t xml:space="preserve">Week 52–64</t>
  </si>
  <si>
    <t xml:space="preserve">EXAMPLE</t>
  </si>
  <si>
    <t xml:space="preserve">0.9325 (90% CI 0.8874–0.9799)</t>
  </si>
  <si>
    <t xml:space="preserve">%</t>
  </si>
  <si>
    <t xml:space="preserve">SRC_EUCTR_ABP_IC</t>
  </si>
  <si>
    <t xml:space="preserve">Results &gt; Primary end points</t>
  </si>
  <si>
    <t xml:space="preserve">TEXT</t>
  </si>
  <si>
    <r>
      <rPr>
        <i val="true"/>
        <sz val="10"/>
        <color rgb="FF1F3864"/>
        <rFont val="Noto Sans CJK SC"/>
        <family val="2"/>
      </rPr>
      <t xml:space="preserve">형식 예시</t>
    </r>
    <r>
      <rPr>
        <i val="true"/>
        <sz val="10"/>
        <color rgb="FF1F3864"/>
        <rFont val="Arial"/>
        <family val="0"/>
        <charset val="1"/>
      </rPr>
      <t xml:space="preserve">(</t>
    </r>
    <r>
      <rPr>
        <i val="true"/>
        <sz val="10"/>
        <color rgb="FF1F3864"/>
        <rFont val="Noto Sans CJK SC"/>
        <family val="2"/>
      </rPr>
      <t xml:space="preserve">평가 제외</t>
    </r>
    <r>
      <rPr>
        <i val="true"/>
        <sz val="10"/>
        <color rgb="FF1F3864"/>
        <rFont val="Arial"/>
        <family val="0"/>
        <charset val="1"/>
      </rPr>
      <t xml:space="preserve">). 20200417 </t>
    </r>
    <r>
      <rPr>
        <i val="true"/>
        <sz val="10"/>
        <color rgb="FF1F3864"/>
        <rFont val="Noto Sans CJK SC"/>
        <family val="2"/>
      </rPr>
      <t xml:space="preserve">상호교환성 시험 — </t>
    </r>
    <r>
      <rPr>
        <i val="true"/>
        <sz val="10"/>
        <color rgb="FF1F3864"/>
        <rFont val="Arial"/>
        <family val="0"/>
        <charset val="1"/>
      </rPr>
      <t xml:space="preserve">Wezenla EPAR</t>
    </r>
    <r>
      <rPr>
        <i val="true"/>
        <sz val="10"/>
        <color rgb="FF1F3864"/>
        <rFont val="Noto Sans CJK SC"/>
        <family val="2"/>
      </rPr>
      <t xml:space="preserve">에 없는 시험</t>
    </r>
    <r>
      <rPr>
        <i val="true"/>
        <sz val="10"/>
        <color rgb="FF1F3864"/>
        <rFont val="Arial"/>
        <family val="0"/>
        <charset val="1"/>
      </rPr>
      <t xml:space="preserve">. EU CTR </t>
    </r>
    <r>
      <rPr>
        <i val="true"/>
        <sz val="10"/>
        <color rgb="FF1F3864"/>
        <rFont val="Noto Sans CJK SC"/>
        <family val="2"/>
      </rPr>
      <t xml:space="preserve">구조화 결과를 요약 도구로 조회</t>
    </r>
    <r>
      <rPr>
        <i val="true"/>
        <sz val="10"/>
        <color rgb="FF1F3864"/>
        <rFont val="Arial"/>
        <family val="0"/>
        <charset val="1"/>
      </rPr>
      <t xml:space="preserve">(2026-10-02), </t>
    </r>
    <r>
      <rPr>
        <i val="true"/>
        <sz val="10"/>
        <color rgb="FF1F3864"/>
        <rFont val="Noto Sans CJK SC"/>
        <family val="2"/>
      </rPr>
      <t xml:space="preserve">원문 문구 대조 필요</t>
    </r>
  </si>
  <si>
    <t xml:space="preserve">G-EX-02</t>
  </si>
  <si>
    <t xml:space="preserve">pk_gmr_cmax</t>
  </si>
  <si>
    <t xml:space="preserve">0.9483 (90% CI 0.8977–1.0018)</t>
  </si>
  <si>
    <t xml:space="preserve">G-SB17-001</t>
  </si>
  <si>
    <t xml:space="preserve">P_SB17</t>
  </si>
  <si>
    <t xml:space="preserve">design_phase</t>
  </si>
  <si>
    <t xml:space="preserve">CORE</t>
  </si>
  <si>
    <t xml:space="preserve">Phase I</t>
  </si>
  <si>
    <t xml:space="preserve">SRC_EPAR_PYZ</t>
  </si>
  <si>
    <t xml:space="preserve">Page 37/168</t>
  </si>
  <si>
    <t xml:space="preserve">2.6.2.1 Study design</t>
  </si>
  <si>
    <t xml:space="preserve">randomised, double-blind, three-arm, parallel group, single-dose Phase I study</t>
  </si>
  <si>
    <t xml:space="preserve">PASS</t>
  </si>
  <si>
    <t xml:space="preserve">G-SB17-002</t>
  </si>
  <si>
    <t xml:space="preserve">design_population</t>
  </si>
  <si>
    <t xml:space="preserve">Healthy male or female, aged 18-55 years (inclusive); body weight 60.0-90.0 kg, BMI 19.0-29.9 kg/m2</t>
  </si>
  <si>
    <t xml:space="preserve">Page 38/168</t>
  </si>
  <si>
    <t xml:space="preserve">Key inclusion criteria 1-2</t>
  </si>
  <si>
    <t xml:space="preserve">Healthy male or female, aged 18-55 years (inclusive) on the day of signing the informed consent.</t>
  </si>
  <si>
    <t xml:space="preserve">G-SB17-003</t>
  </si>
  <si>
    <t xml:space="preserve">design_type</t>
  </si>
  <si>
    <t xml:space="preserve">randomised, double-blind, three-arm, parallel group, single-dose</t>
  </si>
  <si>
    <t xml:space="preserve">Study SB17-1001 is a randomised, double-blind, three-arm, parallel group, single-dose Phase I study</t>
  </si>
  <si>
    <t xml:space="preserve">G-SB17-004</t>
  </si>
  <si>
    <t xml:space="preserve">dose</t>
  </si>
  <si>
    <t xml:space="preserve">45 mg/0.5 mL</t>
  </si>
  <si>
    <t xml:space="preserve">mg</t>
  </si>
  <si>
    <t xml:space="preserve">Page 39/168</t>
  </si>
  <si>
    <t xml:space="preserve">Treatments</t>
  </si>
  <si>
    <t xml:space="preserve">Subjects received a single dose of 45 mg/0.5 mL of either Pyzchiva, EU-approved Stelara, or US- licensed Stelara on Day 1 as an SC injection.</t>
  </si>
  <si>
    <t xml:space="preserve">G-SB17-005</t>
  </si>
  <si>
    <t xml:space="preserve">route</t>
  </si>
  <si>
    <t xml:space="preserve">SC</t>
  </si>
  <si>
    <t xml:space="preserve">on Day 1 as an SC injection</t>
  </si>
  <si>
    <t xml:space="preserve">G-SB17-006</t>
  </si>
  <si>
    <t xml:space="preserve">primary_pk_endpoints</t>
  </si>
  <si>
    <t xml:space="preserve">Cmax; AUC0-inf</t>
  </si>
  <si>
    <t xml:space="preserve">Primary endpoints</t>
  </si>
  <si>
    <t xml:space="preserve">Maximum serum concentration (Cmax) AND area under the serum concentration-time curve from time zero extrapolated to infinity (AUC0-inf)</t>
  </si>
  <si>
    <t xml:space="preserve">G-SB17-007</t>
  </si>
  <si>
    <t xml:space="preserve">equiv_margin</t>
  </si>
  <si>
    <t xml:space="preserve">0.8 to 1.25 (80% to 125%)</t>
  </si>
  <si>
    <t xml:space="preserve">ratio</t>
  </si>
  <si>
    <t xml:space="preserve">Objectives</t>
  </si>
  <si>
    <t xml:space="preserve">entirely contained within the equivalence margin of 0.8 to 1.25</t>
  </si>
  <si>
    <r>
      <rPr>
        <sz val="10"/>
        <rFont val="Arial"/>
        <family val="0"/>
        <charset val="1"/>
      </rPr>
      <t xml:space="preserve">EMA </t>
    </r>
    <r>
      <rPr>
        <sz val="10"/>
        <rFont val="Noto Sans CJK SC"/>
        <family val="2"/>
      </rPr>
      <t xml:space="preserve">심사는 </t>
    </r>
    <r>
      <rPr>
        <sz val="10"/>
        <rFont val="Arial"/>
        <family val="0"/>
        <charset val="1"/>
      </rPr>
      <t xml:space="preserve">SB17 vs EU </t>
    </r>
    <r>
      <rPr>
        <sz val="10"/>
        <rFont val="Noto Sans CJK SC"/>
        <family val="2"/>
      </rPr>
      <t xml:space="preserve">비교만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판정 기준</t>
    </r>
    <r>
      <rPr>
        <sz val="10"/>
        <rFont val="Arial"/>
        <family val="0"/>
        <charset val="1"/>
      </rPr>
      <t xml:space="preserve">(p41). US </t>
    </r>
    <r>
      <rPr>
        <sz val="10"/>
        <rFont val="Noto Sans CJK SC"/>
        <family val="2"/>
      </rPr>
      <t xml:space="preserve">관련 비교는 </t>
    </r>
    <r>
      <rPr>
        <sz val="10"/>
        <rFont val="Arial"/>
        <family val="0"/>
        <charset val="1"/>
      </rPr>
      <t xml:space="preserve">FDA</t>
    </r>
    <r>
      <rPr>
        <sz val="10"/>
        <rFont val="Noto Sans CJK SC"/>
        <family val="2"/>
      </rPr>
      <t xml:space="preserve">용</t>
    </r>
    <r>
      <rPr>
        <sz val="10"/>
        <rFont val="Arial"/>
        <family val="0"/>
        <charset val="1"/>
      </rPr>
      <t xml:space="preserve">.</t>
    </r>
  </si>
  <si>
    <t xml:space="preserve">G-SB17-008</t>
  </si>
  <si>
    <t xml:space="preserve">ada_assay</t>
  </si>
  <si>
    <t xml:space="preserve">ADA: bridging ligand-binding assay, ECL (MSD), three-tiered. NAb: competitive ligand-binding assay, ECL (MSD)</t>
  </si>
  <si>
    <t xml:space="preserve">Page 42/168</t>
  </si>
  <si>
    <t xml:space="preserve">ADA assay / NAb assay</t>
  </si>
  <si>
    <t xml:space="preserve">using a bridging ligand-binding assay with an electrochemiluminescence (ECL) platform with Mesoscale Discovery (MSD)</t>
  </si>
  <si>
    <r>
      <rPr>
        <sz val="10"/>
        <rFont val="Arial"/>
        <family val="0"/>
        <charset val="1"/>
      </rPr>
      <t xml:space="preserve">p42 NAb assay </t>
    </r>
    <r>
      <rPr>
        <sz val="10"/>
        <rFont val="Noto Sans CJK SC"/>
        <family val="2"/>
      </rPr>
      <t xml:space="preserve">문단</t>
    </r>
  </si>
  <si>
    <t xml:space="preserve">G-SB17-009</t>
  </si>
  <si>
    <t xml:space="preserve">n_randomized</t>
  </si>
  <si>
    <t xml:space="preserve">TEST</t>
  </si>
  <si>
    <t xml:space="preserve">RANDOMIZED</t>
  </si>
  <si>
    <t xml:space="preserve">67</t>
  </si>
  <si>
    <t xml:space="preserve">명</t>
  </si>
  <si>
    <t xml:space="preserve">Patient flow</t>
  </si>
  <si>
    <t xml:space="preserve">201 subjects (67 subjects in each Pyzchiva, EU Stelara, and US Stelara) were randomised</t>
  </si>
  <si>
    <r>
      <rPr>
        <sz val="10"/>
        <rFont val="Arial"/>
        <family val="0"/>
        <charset val="1"/>
      </rPr>
      <t xml:space="preserve">p43 Table 3 (</t>
    </r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)</t>
    </r>
  </si>
  <si>
    <t xml:space="preserve">G-SB17-010</t>
  </si>
  <si>
    <t xml:space="preserve">EU_RP</t>
  </si>
  <si>
    <t xml:space="preserve">G-SB17-011</t>
  </si>
  <si>
    <t xml:space="preserve">US_RP</t>
  </si>
  <si>
    <t xml:space="preserve">G-SB17-012</t>
  </si>
  <si>
    <t xml:space="preserve">n_pk_set</t>
  </si>
  <si>
    <t xml:space="preserve">PK_SET</t>
  </si>
  <si>
    <t xml:space="preserve">were randomised, all of whom included in the SAF and PKS</t>
  </si>
  <si>
    <r>
      <rPr>
        <sz val="10"/>
        <rFont val="Arial"/>
        <family val="0"/>
        <charset val="1"/>
      </rPr>
      <t xml:space="preserve">p43 Table 3 (</t>
    </r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), p47 Table 8 'N = 67'</t>
    </r>
  </si>
  <si>
    <r>
      <rPr>
        <sz val="10"/>
        <rFont val="Arial"/>
        <family val="0"/>
        <charset val="1"/>
      </rPr>
      <t xml:space="preserve">PKS N=67</t>
    </r>
    <r>
      <rPr>
        <sz val="10"/>
        <rFont val="Noto Sans CJK SC"/>
        <family val="2"/>
      </rPr>
      <t xml:space="preserve">이지만 평가변수별 실제 분석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62/64/60 → GMR </t>
    </r>
    <r>
      <rPr>
        <sz val="10"/>
        <rFont val="Noto Sans CJK SC"/>
        <family val="2"/>
      </rPr>
      <t xml:space="preserve">행의 </t>
    </r>
    <r>
      <rPr>
        <sz val="10"/>
        <rFont val="Arial"/>
        <family val="0"/>
        <charset val="1"/>
      </rPr>
      <t xml:space="preserve">n_test/n_ref </t>
    </r>
    <r>
      <rPr>
        <sz val="10"/>
        <rFont val="Noto Sans CJK SC"/>
        <family val="2"/>
      </rPr>
      <t xml:space="preserve">참조</t>
    </r>
  </si>
  <si>
    <t xml:space="preserve">G-SB17-013</t>
  </si>
  <si>
    <t xml:space="preserve">G-SB17-014</t>
  </si>
  <si>
    <t xml:space="preserve">G-SB17-015</t>
  </si>
  <si>
    <t xml:space="preserve">ada_incidence</t>
  </si>
  <si>
    <t xml:space="preserve">ADA_POSTDOSE_ANY</t>
  </si>
  <si>
    <t xml:space="preserve">SAFETY_SET</t>
  </si>
  <si>
    <t xml:space="preserve">Post-dose (Day 29/71/99)</t>
  </si>
  <si>
    <t xml:space="preserve">18/67 (26.9%)</t>
  </si>
  <si>
    <t xml:space="preserve">ALL_SUBJECTS (N=67)</t>
  </si>
  <si>
    <t xml:space="preserve">Page 50/168</t>
  </si>
  <si>
    <t xml:space="preserve">Immunogenicity</t>
  </si>
  <si>
    <t xml:space="preserve">The overall incidence of subjects with positive post-dose ADA to ustekinumab was 18/67 (26.9%), 23/67 (34.3%), and 23/67 (34.3%)</t>
  </si>
  <si>
    <r>
      <rPr>
        <sz val="10"/>
        <rFont val="Arial"/>
        <family val="0"/>
        <charset val="1"/>
      </rPr>
      <t xml:space="preserve">p49 Table 9 'Post-dose' </t>
    </r>
    <r>
      <rPr>
        <sz val="10"/>
        <rFont val="Noto Sans CJK SC"/>
        <family val="2"/>
      </rPr>
      <t xml:space="preserve">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</si>
  <si>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기저치 이후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</t>
    </r>
    <r>
      <rPr>
        <sz val="10"/>
        <rFont val="Arial"/>
        <family val="0"/>
        <charset val="1"/>
      </rPr>
      <t xml:space="preserve">ADA </t>
    </r>
    <r>
      <rPr>
        <sz val="10"/>
        <rFont val="Noto Sans CJK SC"/>
        <family val="2"/>
      </rPr>
      <t xml:space="preserve">양성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기저치 양성 여부 무관</t>
    </r>
    <r>
      <rPr>
        <sz val="10"/>
        <rFont val="Arial"/>
        <family val="0"/>
        <charset val="1"/>
      </rPr>
      <t xml:space="preserve">)</t>
    </r>
  </si>
  <si>
    <t xml:space="preserve">G-SB17-016</t>
  </si>
  <si>
    <t xml:space="preserve">23/67 (34.3%)</t>
  </si>
  <si>
    <t xml:space="preserve">G-SB17-017</t>
  </si>
  <si>
    <t xml:space="preserve">G-SB17-018</t>
  </si>
  <si>
    <t xml:space="preserve">nab_incidence</t>
  </si>
  <si>
    <t xml:space="preserve">NAB_POSTDOSE_ANY</t>
  </si>
  <si>
    <t xml:space="preserve">Post-dose overall</t>
  </si>
  <si>
    <r>
      <rPr>
        <sz val="10"/>
        <rFont val="Arial"/>
        <family val="0"/>
        <charset val="1"/>
      </rPr>
      <t xml:space="preserve">Pyzchiva EPAR </t>
    </r>
    <r>
      <rPr>
        <sz val="10"/>
        <rFont val="Noto Sans CJK SC"/>
        <family val="2"/>
      </rPr>
      <t xml:space="preserve">전체 텍스트 검색 </t>
    </r>
    <r>
      <rPr>
        <sz val="10"/>
        <rFont val="Arial"/>
        <family val="0"/>
        <charset val="1"/>
      </rPr>
      <t xml:space="preserve">+ p49 Table 9(</t>
    </r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: NAb</t>
    </r>
    <r>
      <rPr>
        <sz val="10"/>
        <rFont val="Noto Sans CJK SC"/>
        <family val="2"/>
      </rPr>
      <t xml:space="preserve">는 시점별</t>
    </r>
    <r>
      <rPr>
        <sz val="10"/>
        <rFont val="Arial"/>
        <family val="0"/>
        <charset val="1"/>
      </rPr>
      <t xml:space="preserve">(Day 29/71/99)·ADA </t>
    </r>
    <r>
      <rPr>
        <sz val="10"/>
        <rFont val="Noto Sans CJK SC"/>
        <family val="2"/>
      </rPr>
      <t xml:space="preserve">양성자 분모로만 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전체 기간 값 없음</t>
    </r>
  </si>
  <si>
    <t xml:space="preserve">N/A</t>
  </si>
  <si>
    <r>
      <rPr>
        <sz val="10"/>
        <rFont val="Arial"/>
        <family val="0"/>
        <charset val="1"/>
      </rPr>
      <t xml:space="preserve">Day 99 </t>
    </r>
    <r>
      <rPr>
        <sz val="10"/>
        <rFont val="Noto Sans CJK SC"/>
        <family val="2"/>
      </rPr>
      <t xml:space="preserve">시점 값은 </t>
    </r>
    <r>
      <rPr>
        <sz val="10"/>
        <rFont val="Arial"/>
        <family val="0"/>
        <charset val="1"/>
      </rPr>
      <t xml:space="preserve">EXTRA </t>
    </r>
    <r>
      <rPr>
        <sz val="10"/>
        <rFont val="Noto Sans CJK SC"/>
        <family val="2"/>
      </rPr>
      <t xml:space="preserve">행 참조</t>
    </r>
  </si>
  <si>
    <t xml:space="preserve">G-SB17-019</t>
  </si>
  <si>
    <t xml:space="preserve">G-SB17-020</t>
  </si>
  <si>
    <t xml:space="preserve">G-SB17-021</t>
  </si>
  <si>
    <t xml:space="preserve">pk_gmr_auc_inf</t>
  </si>
  <si>
    <t xml:space="preserve">TEST_vs_EU_RP</t>
  </si>
  <si>
    <t xml:space="preserve">Single dose</t>
  </si>
  <si>
    <t xml:space="preserve">0.99 (90% CI 0.90; 1.08)</t>
  </si>
  <si>
    <t xml:space="preserve">Page 43/168</t>
  </si>
  <si>
    <t xml:space="preserve">Table 4</t>
  </si>
  <si>
    <t xml:space="preserve">0.90; 1.08</t>
  </si>
  <si>
    <r>
      <rPr>
        <sz val="10"/>
        <rFont val="Arial"/>
        <family val="0"/>
        <charset val="1"/>
      </rPr>
      <t xml:space="preserve">p45 Table 5 (</t>
    </r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동일 값</t>
    </r>
    <r>
      <rPr>
        <sz val="10"/>
        <rFont val="Arial"/>
        <family val="0"/>
        <charset val="1"/>
      </rPr>
      <t xml:space="preserve">)</t>
    </r>
  </si>
  <si>
    <t xml:space="preserve">PILOT_OBS</t>
  </si>
  <si>
    <r>
      <rPr>
        <sz val="10"/>
        <rFont val="Noto Sans CJK SC"/>
        <family val="2"/>
      </rPr>
      <t xml:space="preserve">원문 </t>
    </r>
    <r>
      <rPr>
        <sz val="10"/>
        <rFont val="Arial"/>
        <family val="0"/>
        <charset val="1"/>
      </rPr>
      <t xml:space="preserve">scale=ratio. 1</t>
    </r>
    <r>
      <rPr>
        <sz val="10"/>
        <rFont val="Noto Sans CJK SC"/>
        <family val="2"/>
      </rPr>
      <t xml:space="preserve">차 분석 </t>
    </r>
    <r>
      <rPr>
        <sz val="10"/>
        <rFont val="Arial"/>
        <family val="0"/>
        <charset val="1"/>
      </rPr>
      <t xml:space="preserve">= log </t>
    </r>
    <r>
      <rPr>
        <sz val="10"/>
        <rFont val="Noto Sans CJK SC"/>
        <family val="2"/>
      </rPr>
      <t xml:space="preserve">변환 </t>
    </r>
    <r>
      <rPr>
        <sz val="10"/>
        <rFont val="Arial"/>
        <family val="0"/>
        <charset val="1"/>
      </rPr>
      <t xml:space="preserve">ANOVA(p41)</t>
    </r>
  </si>
  <si>
    <t xml:space="preserve">G-SB17-022</t>
  </si>
  <si>
    <t xml:space="preserve">TEST_vs_US_RP</t>
  </si>
  <si>
    <r>
      <rPr>
        <sz val="10"/>
        <rFont val="Arial"/>
        <family val="0"/>
        <charset val="1"/>
      </rPr>
      <t xml:space="preserve">p45 </t>
    </r>
    <r>
      <rPr>
        <sz val="10"/>
        <rFont val="Noto Sans CJK SC"/>
        <family val="2"/>
      </rPr>
      <t xml:space="preserve">본문은 </t>
    </r>
    <r>
      <rPr>
        <sz val="10"/>
        <rFont val="Arial"/>
        <family val="0"/>
        <charset val="1"/>
      </rPr>
      <t xml:space="preserve">'90% CI</t>
    </r>
    <r>
      <rPr>
        <sz val="10"/>
        <rFont val="Noto Sans CJK SC"/>
        <family val="2"/>
      </rPr>
      <t xml:space="preserve">가 기준 범위 안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이라고만 서술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(ANOVA) </t>
    </r>
    <r>
      <rPr>
        <sz val="10"/>
        <rFont val="Noto Sans CJK SC"/>
        <family val="2"/>
      </rPr>
      <t xml:space="preserve">수치는 </t>
    </r>
    <r>
      <rPr>
        <sz val="10"/>
        <rFont val="Arial"/>
        <family val="0"/>
        <charset val="1"/>
      </rPr>
      <t xml:space="preserve">EPAR</t>
    </r>
    <r>
      <rPr>
        <sz val="10"/>
        <rFont val="Noto Sans CJK SC"/>
        <family val="2"/>
      </rPr>
      <t xml:space="preserve">에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수치는 사후 </t>
    </r>
    <r>
      <rPr>
        <sz val="10"/>
        <rFont val="Arial"/>
        <family val="0"/>
        <charset val="1"/>
      </rPr>
      <t xml:space="preserve">ANCOVA(Table 7, p46)</t>
    </r>
    <r>
      <rPr>
        <sz val="10"/>
        <rFont val="Noto Sans CJK SC"/>
        <family val="2"/>
      </rPr>
      <t xml:space="preserve">에만 있음</t>
    </r>
  </si>
  <si>
    <r>
      <rPr>
        <sz val="10"/>
        <rFont val="Noto Sans CJK SC"/>
        <family val="2"/>
      </rPr>
      <t xml:space="preserve">정성 결론은 </t>
    </r>
    <r>
      <rPr>
        <sz val="10"/>
        <rFont val="Arial"/>
        <family val="0"/>
        <charset val="1"/>
      </rPr>
      <t xml:space="preserve">pk_equiv_concluded </t>
    </r>
    <r>
      <rPr>
        <sz val="10"/>
        <rFont val="Noto Sans CJK SC"/>
        <family val="2"/>
      </rPr>
      <t xml:space="preserve">행에 기록</t>
    </r>
  </si>
  <si>
    <t xml:space="preserve">G-SB17-023</t>
  </si>
  <si>
    <t xml:space="preserve">EU_RP_vs_US_RP</t>
  </si>
  <si>
    <t xml:space="preserve">G-SB17-024</t>
  </si>
  <si>
    <t xml:space="preserve">0.90 (90% CI 0.82; 0.98)</t>
  </si>
  <si>
    <t xml:space="preserve">0.82; 0.98</t>
  </si>
  <si>
    <t xml:space="preserve">G-SB17-025</t>
  </si>
  <si>
    <t xml:space="preserve">G-SB17-026</t>
  </si>
  <si>
    <t xml:space="preserve">G-SB17-027</t>
  </si>
  <si>
    <t xml:space="preserve">pk_gmr_auc_last</t>
  </si>
  <si>
    <r>
      <rPr>
        <sz val="10"/>
        <rFont val="Arial"/>
        <family val="0"/>
        <charset val="1"/>
      </rPr>
      <t xml:space="preserve">AUClast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p47 Table 8 </t>
    </r>
    <r>
      <rPr>
        <sz val="10"/>
        <rFont val="Noto Sans CJK SC"/>
        <family val="2"/>
      </rPr>
      <t xml:space="preserve">기술통계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</t>
    </r>
    <r>
      <rPr>
        <sz val="10"/>
        <rFont val="Arial"/>
        <family val="0"/>
        <charset val="1"/>
      </rPr>
      <t xml:space="preserve">·SD)</t>
    </r>
    <r>
      <rPr>
        <sz val="10"/>
        <rFont val="Noto Sans CJK SC"/>
        <family val="2"/>
      </rPr>
      <t xml:space="preserve">만 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기하평균비 미보고</t>
    </r>
  </si>
  <si>
    <t xml:space="preserve">G-SB17-028</t>
  </si>
  <si>
    <t xml:space="preserve">G-SB17-029</t>
  </si>
  <si>
    <t xml:space="preserve">G-SB17-030</t>
  </si>
  <si>
    <t xml:space="preserve">pk_equiv_concluded</t>
  </si>
  <si>
    <t xml:space="preserve">Y</t>
  </si>
  <si>
    <t xml:space="preserve">Page 45/168</t>
  </si>
  <si>
    <r>
      <rPr>
        <sz val="10"/>
        <rFont val="Arial"/>
        <family val="0"/>
        <charset val="1"/>
      </rPr>
      <t xml:space="preserve">Table 5 </t>
    </r>
    <r>
      <rPr>
        <sz val="10"/>
        <rFont val="Noto Sans CJK SC"/>
        <family val="2"/>
      </rPr>
      <t xml:space="preserve">아래 본문</t>
    </r>
  </si>
  <si>
    <t xml:space="preserve">These values for the 90% CIs were within the predefined equivalence margin of 0.8 to 1.25</t>
  </si>
  <si>
    <r>
      <rPr>
        <sz val="10"/>
        <rFont val="Arial"/>
        <family val="0"/>
        <charset val="1"/>
      </rPr>
      <t xml:space="preserve">Cmax CI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을 포함하지 않아 사후 </t>
    </r>
    <r>
      <rPr>
        <sz val="10"/>
        <rFont val="Arial"/>
        <family val="0"/>
        <charset val="1"/>
      </rPr>
      <t xml:space="preserve">ANCOVA </t>
    </r>
    <r>
      <rPr>
        <sz val="10"/>
        <rFont val="Noto Sans CJK SC"/>
        <family val="2"/>
      </rPr>
      <t xml:space="preserve">수행</t>
    </r>
    <r>
      <rPr>
        <sz val="10"/>
        <rFont val="Arial"/>
        <family val="0"/>
        <charset val="1"/>
      </rPr>
      <t xml:space="preserve">(p45)</t>
    </r>
  </si>
  <si>
    <t xml:space="preserve">G-SB17-031</t>
  </si>
  <si>
    <t xml:space="preserve">Therefore, the PK profiles between Pyzchiva and US Stelara and between EU Stelara and US Stelara were equivalent.</t>
  </si>
  <si>
    <t xml:space="preserve">G-SB17-032</t>
  </si>
  <si>
    <t xml:space="preserve">G-SB17-033</t>
  </si>
  <si>
    <t xml:space="preserve">ADHOC_ANCOVA_WT</t>
  </si>
  <si>
    <t xml:space="preserve">EXTRA</t>
  </si>
  <si>
    <t xml:space="preserve">1.01 (0.92, 1.11)</t>
  </si>
  <si>
    <t xml:space="preserve">Page 48/168</t>
  </si>
  <si>
    <r>
      <rPr>
        <sz val="10"/>
        <rFont val="Arial"/>
        <family val="0"/>
        <charset val="1"/>
      </rPr>
      <t xml:space="preserve">Table 8 </t>
    </r>
    <r>
      <rPr>
        <sz val="10"/>
        <rFont val="Noto Sans CJK SC"/>
        <family val="2"/>
      </rPr>
      <t xml:space="preserve">아래 본문</t>
    </r>
  </si>
  <si>
    <t xml:space="preserve">The geometric LSMean ratios (90% CI) between Pyzchiva and EU Stelara for AUCinf and Cmax were 1.01 (0.92 to 1.11) and 0.93 (0.85 to 1.02)</t>
  </si>
  <si>
    <r>
      <rPr>
        <sz val="10"/>
        <rFont val="Arial"/>
        <family val="0"/>
        <charset val="1"/>
      </rPr>
      <t xml:space="preserve">p46 Table 7 (</t>
    </r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</si>
  <si>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사후 분석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차 분석 값과 혼동 금지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분석 함정 사례</t>
    </r>
    <r>
      <rPr>
        <sz val="10"/>
        <rFont val="Arial"/>
        <family val="0"/>
        <charset val="1"/>
      </rPr>
      <t xml:space="preserve">)</t>
    </r>
  </si>
  <si>
    <t xml:space="preserve">G-SB17-034</t>
  </si>
  <si>
    <t xml:space="preserve">0.93 (0.85, 1.02)</t>
  </si>
  <si>
    <t xml:space="preserve">G-SB17-035</t>
  </si>
  <si>
    <t xml:space="preserve">1.02 (0.94, 1.12)</t>
  </si>
  <si>
    <t xml:space="preserve">Page 46/168</t>
  </si>
  <si>
    <r>
      <rPr>
        <sz val="10"/>
        <rFont val="Arial"/>
        <family val="0"/>
        <charset val="1"/>
      </rPr>
      <t xml:space="preserve">Table 7 (ad-hoc ANCOVA, </t>
    </r>
    <r>
      <rPr>
        <sz val="10"/>
        <rFont val="Noto Sans CJK SC"/>
        <family val="2"/>
      </rPr>
      <t xml:space="preserve">체중 공변량</t>
    </r>
    <r>
      <rPr>
        <sz val="10"/>
        <rFont val="Arial"/>
        <family val="0"/>
        <charset val="1"/>
      </rPr>
      <t xml:space="preserve">)</t>
    </r>
  </si>
  <si>
    <t xml:space="preserve">IMAGE</t>
  </si>
  <si>
    <r>
      <rPr>
        <sz val="10"/>
        <rFont val="Arial"/>
        <family val="0"/>
        <charset val="1"/>
      </rPr>
      <t xml:space="preserve">IMAGE(</t>
    </r>
    <r>
      <rPr>
        <sz val="10"/>
        <rFont val="Noto Sans CJK SC"/>
        <family val="2"/>
      </rPr>
      <t xml:space="preserve">시각 확인</t>
    </r>
    <r>
      <rPr>
        <sz val="10"/>
        <rFont val="Arial"/>
        <family val="0"/>
        <charset val="1"/>
      </rPr>
      <t xml:space="preserve">)</t>
    </r>
  </si>
  <si>
    <t xml:space="preserve">G-SB17-036</t>
  </si>
  <si>
    <t xml:space="preserve">0.96 (0.88, 1.05)</t>
  </si>
  <si>
    <t xml:space="preserve">G-SB17-037</t>
  </si>
  <si>
    <t xml:space="preserve">1.00 (0.92, 1.10)</t>
  </si>
  <si>
    <t xml:space="preserve">G-SB17-038</t>
  </si>
  <si>
    <t xml:space="preserve">G-SB17-039</t>
  </si>
  <si>
    <t xml:space="preserve">NAB_AT_TIMEPOINT</t>
  </si>
  <si>
    <t xml:space="preserve">Day 99</t>
  </si>
  <si>
    <t xml:space="preserve">5/14 (35.7%)</t>
  </si>
  <si>
    <r>
      <rPr>
        <sz val="10"/>
        <rFont val="Arial"/>
        <family val="0"/>
        <charset val="1"/>
      </rPr>
      <t xml:space="preserve">ADA_POSITIVE (</t>
    </r>
    <r>
      <rPr>
        <sz val="10"/>
        <rFont val="Noto Sans CJK SC"/>
        <family val="2"/>
      </rPr>
      <t xml:space="preserve">해당 시점 </t>
    </r>
    <r>
      <rPr>
        <sz val="10"/>
        <rFont val="Arial"/>
        <family val="0"/>
        <charset val="1"/>
      </rPr>
      <t xml:space="preserve">ADA </t>
    </r>
    <r>
      <rPr>
        <sz val="10"/>
        <rFont val="Noto Sans CJK SC"/>
        <family val="2"/>
      </rPr>
      <t xml:space="preserve">양성자</t>
    </r>
    <r>
      <rPr>
        <sz val="10"/>
        <rFont val="Arial"/>
        <family val="0"/>
        <charset val="1"/>
      </rPr>
      <t xml:space="preserve">)</t>
    </r>
  </si>
  <si>
    <t xml:space="preserve">The incidence of subject with NAb at Day 99 was 5/14 (35.7%), 12/19 (63.2%), and 11/19 (57.9%)</t>
  </si>
  <si>
    <r>
      <rPr>
        <sz val="10"/>
        <rFont val="Arial"/>
        <family val="0"/>
        <charset val="1"/>
      </rPr>
      <t xml:space="preserve">p49 Table 9 (</t>
    </r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</si>
  <si>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분모가 </t>
    </r>
    <r>
      <rPr>
        <sz val="10"/>
        <rFont val="Arial"/>
        <family val="0"/>
        <charset val="1"/>
      </rPr>
      <t xml:space="preserve">ADA </t>
    </r>
    <r>
      <rPr>
        <sz val="10"/>
        <rFont val="Noto Sans CJK SC"/>
        <family val="2"/>
      </rPr>
      <t xml:space="preserve">양성자 → 다른 제품의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전체 대상자 분모</t>
    </r>
    <r>
      <rPr>
        <sz val="10"/>
        <rFont val="Arial"/>
        <family val="0"/>
        <charset val="1"/>
      </rPr>
      <t xml:space="preserve">' NAb</t>
    </r>
    <r>
      <rPr>
        <sz val="10"/>
        <rFont val="Noto Sans CJK SC"/>
        <family val="2"/>
      </rPr>
      <t xml:space="preserve">와 직접 비교 불가</t>
    </r>
  </si>
  <si>
    <t xml:space="preserve">G-SB17-040</t>
  </si>
  <si>
    <t xml:space="preserve">12/19 (63.2%)</t>
  </si>
  <si>
    <t xml:space="preserve">G-SB17-041</t>
  </si>
  <si>
    <t xml:space="preserve">11/19 (57.9%)</t>
  </si>
  <si>
    <t xml:space="preserve">G-ABP-001</t>
  </si>
  <si>
    <t xml:space="preserve">phase 1</t>
  </si>
  <si>
    <t xml:space="preserve">SRC_EPAR_WEZ</t>
  </si>
  <si>
    <t xml:space="preserve">Page 42/117</t>
  </si>
  <si>
    <t xml:space="preserve">PK similarity study (20190230)</t>
  </si>
  <si>
    <t xml:space="preserve">The study was a phase 1, randomised, double-blind, single-dose, 3-arm, parallel-group study in healthy subjects.</t>
  </si>
  <si>
    <t xml:space="preserve">G-ABP-002</t>
  </si>
  <si>
    <t xml:space="preserve">Healthy subjects, 18 to 45 years of age; body weight ≥ 50 kg and ≤ 90 kg; BMI 18.0–30.0 kg/m2 (non-Japanese), 18.0–25.0 kg/m2 (Japanese)</t>
  </si>
  <si>
    <t xml:space="preserve">Page 41/117</t>
  </si>
  <si>
    <t xml:space="preserve">Tabular overview of clinical studies</t>
  </si>
  <si>
    <r>
      <rPr>
        <sz val="10"/>
        <rFont val="Noto Sans CJK SC"/>
        <family val="2"/>
      </rPr>
      <t xml:space="preserve">연령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체중 조건은 개요표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에만 있음</t>
    </r>
    <r>
      <rPr>
        <sz val="10"/>
        <rFont val="Arial"/>
        <family val="0"/>
        <charset val="1"/>
      </rPr>
      <t xml:space="preserve">. p42 </t>
    </r>
    <r>
      <rPr>
        <sz val="10"/>
        <rFont val="Noto Sans CJK SC"/>
        <family val="2"/>
      </rPr>
      <t xml:space="preserve">본문은 </t>
    </r>
    <r>
      <rPr>
        <sz val="10"/>
        <rFont val="Arial"/>
        <family val="0"/>
        <charset val="1"/>
      </rPr>
      <t xml:space="preserve">'healthy subjects'</t>
    </r>
    <r>
      <rPr>
        <sz val="10"/>
        <rFont val="Noto Sans CJK SC"/>
        <family val="2"/>
      </rPr>
      <t xml:space="preserve">만 기재</t>
    </r>
  </si>
  <si>
    <t xml:space="preserve">G-ABP-003</t>
  </si>
  <si>
    <t xml:space="preserve">randomised, double-blind, single-dose, 3-arm, parallel-group</t>
  </si>
  <si>
    <t xml:space="preserve">G-ABP-004</t>
  </si>
  <si>
    <t xml:space="preserve">90 mg</t>
  </si>
  <si>
    <t xml:space="preserve">Each subject received either a single 90 mg SC injection of ABP 654, ustekinumab (EU), or ustekinumab (US) on Day 1.</t>
  </si>
  <si>
    <r>
      <rPr>
        <sz val="10"/>
        <rFont val="Arial"/>
        <family val="0"/>
        <charset val="1"/>
      </rPr>
      <t xml:space="preserve">SB17·CT-P43(45 mg)</t>
    </r>
    <r>
      <rPr>
        <sz val="10"/>
        <rFont val="Noto Sans CJK SC"/>
        <family val="2"/>
      </rPr>
      <t xml:space="preserve">과 용량이 다름 → 제품 간 </t>
    </r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절대값 비교 불가</t>
    </r>
  </si>
  <si>
    <t xml:space="preserve">G-ABP-005</t>
  </si>
  <si>
    <t xml:space="preserve">single 90 mg SC injection</t>
  </si>
  <si>
    <t xml:space="preserve">G-ABP-006</t>
  </si>
  <si>
    <t xml:space="preserve">AUCinf; Cmax</t>
  </si>
  <si>
    <t xml:space="preserve">Page 43/117</t>
  </si>
  <si>
    <t xml:space="preserve">PK endpoints</t>
  </si>
  <si>
    <t xml:space="preserve">The primary PK parameters: AUCinf and Cmax</t>
  </si>
  <si>
    <t xml:space="preserve">G-ABP-007</t>
  </si>
  <si>
    <t xml:space="preserve">0.8 to 1.25</t>
  </si>
  <si>
    <t xml:space="preserve">Page 44/117</t>
  </si>
  <si>
    <r>
      <rPr>
        <sz val="10"/>
        <rFont val="Arial"/>
        <family val="0"/>
        <charset val="1"/>
      </rPr>
      <t xml:space="preserve">Table 4 </t>
    </r>
    <r>
      <rPr>
        <sz val="10"/>
        <rFont val="Noto Sans CJK SC"/>
        <family val="2"/>
      </rPr>
      <t xml:space="preserve">아래 본문</t>
    </r>
  </si>
  <si>
    <t xml:space="preserve">fully contained within the prespecified margin of 0.8 to 1.25</t>
  </si>
  <si>
    <t xml:space="preserve">G-ABP-008</t>
  </si>
  <si>
    <t xml:space="preserve">ADA: MSD-ECL bridging assay with acid dissociation, 3-tiered. NAb: ECL immunoassay (non cell-based)</t>
  </si>
  <si>
    <t xml:space="preserve">Analytical methods</t>
  </si>
  <si>
    <t xml:space="preserve">Anti-drug antibodies were determined by an MSD-ECL method with acid dissociation of the complexes</t>
  </si>
  <si>
    <r>
      <rPr>
        <sz val="10"/>
        <rFont val="Arial"/>
        <family val="0"/>
        <charset val="1"/>
      </rPr>
      <t xml:space="preserve">p47 (NAb </t>
    </r>
    <r>
      <rPr>
        <sz val="10"/>
        <rFont val="Noto Sans CJK SC"/>
        <family val="2"/>
      </rPr>
      <t xml:space="preserve">분석법</t>
    </r>
    <r>
      <rPr>
        <sz val="10"/>
        <rFont val="Arial"/>
        <family val="0"/>
        <charset val="1"/>
      </rPr>
      <t xml:space="preserve">: 'not the standard cell-based assay')</t>
    </r>
  </si>
  <si>
    <t xml:space="preserve">G-ABP-009</t>
  </si>
  <si>
    <r>
      <rPr>
        <sz val="10"/>
        <rFont val="Arial"/>
        <family val="0"/>
        <charset val="1"/>
      </rPr>
      <t xml:space="preserve">EPAR </t>
    </r>
    <r>
      <rPr>
        <sz val="10"/>
        <rFont val="Noto Sans CJK SC"/>
        <family val="2"/>
      </rPr>
      <t xml:space="preserve">텍스트 전체 </t>
    </r>
    <r>
      <rPr>
        <sz val="10"/>
        <rFont val="Arial"/>
        <family val="0"/>
        <charset val="1"/>
      </rPr>
      <t xml:space="preserve">+ p41 </t>
    </r>
    <r>
      <rPr>
        <sz val="10"/>
        <rFont val="Noto Sans CJK SC"/>
        <family val="2"/>
      </rPr>
      <t xml:space="preserve">개요표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군별 무작위배정 수 미기재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238</t>
    </r>
    <r>
      <rPr>
        <sz val="10"/>
        <rFont val="Noto Sans CJK SC"/>
        <family val="2"/>
      </rPr>
      <t xml:space="preserve">명만 보고</t>
    </r>
  </si>
  <si>
    <r>
      <rPr>
        <sz val="10"/>
        <rFont val="Noto Sans CJK SC"/>
        <family val="2"/>
      </rPr>
      <t xml:space="preserve">전체 수는 </t>
    </r>
    <r>
      <rPr>
        <sz val="10"/>
        <rFont val="Arial"/>
        <family val="0"/>
        <charset val="1"/>
      </rPr>
      <t xml:space="preserve">EXTRA 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(arm=ALL)</t>
    </r>
  </si>
  <si>
    <t xml:space="preserve">G-ABP-010</t>
  </si>
  <si>
    <t xml:space="preserve">G-ABP-011</t>
  </si>
  <si>
    <t xml:space="preserve">G-ABP-012</t>
  </si>
  <si>
    <t xml:space="preserve">ALL</t>
  </si>
  <si>
    <t xml:space="preserve">238/237ᵃ (Randomized / Analyzed for Safety)</t>
  </si>
  <si>
    <t xml:space="preserve">G-ABP-013</t>
  </si>
  <si>
    <t xml:space="preserve">78</t>
  </si>
  <si>
    <t xml:space="preserve">PK results</t>
  </si>
  <si>
    <t xml:space="preserve">PK analysis sets included n = 78 in the ABP 654 group, n = 80 in the ustekinumab (EU) group and n = 79 in the ustekinumab (US) group.</t>
  </si>
  <si>
    <t xml:space="preserve">G-ABP-014</t>
  </si>
  <si>
    <t xml:space="preserve">80</t>
  </si>
  <si>
    <t xml:space="preserve">G-ABP-015</t>
  </si>
  <si>
    <t xml:space="preserve">79</t>
  </si>
  <si>
    <t xml:space="preserve">G-ABP-016</t>
  </si>
  <si>
    <t xml:space="preserve">ADA_TREATMENT_EMERGENT</t>
  </si>
  <si>
    <t xml:space="preserve">Through EOS (Day 112)</t>
  </si>
  <si>
    <t xml:space="preserve">12 (15.4)</t>
  </si>
  <si>
    <t xml:space="preserve">ALL_SUBJECTS (N=78)</t>
  </si>
  <si>
    <t xml:space="preserve">Page 94/117</t>
  </si>
  <si>
    <t xml:space="preserve">Table 42 'Developing antibody incidence … through EOS'</t>
  </si>
  <si>
    <r>
      <rPr>
        <sz val="10"/>
        <rFont val="Noto Sans CJK SC"/>
        <family val="2"/>
      </rPr>
      <t xml:space="preserve">정의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기저치 음성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또는 결과 없음</t>
    </r>
    <r>
      <rPr>
        <sz val="10"/>
        <rFont val="Arial"/>
        <family val="0"/>
        <charset val="1"/>
      </rPr>
      <t xml:space="preserve">) → </t>
    </r>
    <r>
      <rPr>
        <sz val="10"/>
        <rFont val="Noto Sans CJK SC"/>
        <family val="2"/>
      </rPr>
      <t xml:space="preserve">기저치 이후 양성</t>
    </r>
    <r>
      <rPr>
        <sz val="10"/>
        <rFont val="Arial"/>
        <family val="0"/>
        <charset val="1"/>
      </rPr>
      <t xml:space="preserve">. SB17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'post-dose positive'</t>
    </r>
    <r>
      <rPr>
        <sz val="10"/>
        <rFont val="Noto Sans CJK SC"/>
        <family val="2"/>
      </rPr>
      <t xml:space="preserve">와 정의 다름</t>
    </r>
  </si>
  <si>
    <t xml:space="preserve">G-ABP-017</t>
  </si>
  <si>
    <t xml:space="preserve">29 (36.3)</t>
  </si>
  <si>
    <t xml:space="preserve">ALL_SUBJECTS (N=80)</t>
  </si>
  <si>
    <t xml:space="preserve">G-ABP-018</t>
  </si>
  <si>
    <t xml:space="preserve">30 (38.0)</t>
  </si>
  <si>
    <t xml:space="preserve">ALL_SUBJECTS (N=79)</t>
  </si>
  <si>
    <t xml:space="preserve">G-ABP-019</t>
  </si>
  <si>
    <t xml:space="preserve">ADA_ANYTIME</t>
  </si>
  <si>
    <r>
      <rPr>
        <sz val="10"/>
        <rFont val="Arial"/>
        <family val="0"/>
        <charset val="1"/>
      </rPr>
      <t xml:space="preserve">Anytime (</t>
    </r>
    <r>
      <rPr>
        <sz val="10"/>
        <rFont val="Noto Sans CJK SC"/>
        <family val="2"/>
      </rPr>
      <t xml:space="preserve">기저치 포함</t>
    </r>
    <r>
      <rPr>
        <sz val="10"/>
        <rFont val="Arial"/>
        <family val="0"/>
        <charset val="1"/>
      </rPr>
      <t xml:space="preserve">)</t>
    </r>
  </si>
  <si>
    <t xml:space="preserve">13 (16.7)</t>
  </si>
  <si>
    <t xml:space="preserve">ALL_SUBJECTS</t>
  </si>
  <si>
    <t xml:space="preserve">Table 42 'Binding antibody positive anytime'</t>
  </si>
  <si>
    <t xml:space="preserve">기저치 양성자 포함 정의</t>
  </si>
  <si>
    <t xml:space="preserve">G-ABP-020</t>
  </si>
  <si>
    <t xml:space="preserve">30 (37.5)</t>
  </si>
  <si>
    <t xml:space="preserve">G-ABP-021</t>
  </si>
  <si>
    <t xml:space="preserve">G-ABP-022</t>
  </si>
  <si>
    <t xml:space="preserve">NAB_TREATMENT_EMERGENT</t>
  </si>
  <si>
    <t xml:space="preserve">2 (2.6)</t>
  </si>
  <si>
    <t xml:space="preserve">Table 42 'Neutralizing antibody positive postbaseline … through EOS'</t>
  </si>
  <si>
    <t xml:space="preserve">G-ABP-023</t>
  </si>
  <si>
    <t xml:space="preserve">6 (7.5)</t>
  </si>
  <si>
    <t xml:space="preserve">G-ABP-024</t>
  </si>
  <si>
    <t xml:space="preserve">10 (12.7)</t>
  </si>
  <si>
    <t xml:space="preserve">G-ABP-025</t>
  </si>
  <si>
    <t xml:space="preserve">0.9391 (0.8620, 1.0232)</t>
  </si>
  <si>
    <t xml:space="preserve">Table 5 (ANCOVA with baseline weight)</t>
  </si>
  <si>
    <r>
      <rPr>
        <sz val="10"/>
        <rFont val="Noto Sans CJK SC"/>
        <family val="2"/>
      </rPr>
      <t xml:space="preserve">원문 </t>
    </r>
    <r>
      <rPr>
        <sz val="10"/>
        <rFont val="Arial"/>
        <family val="0"/>
        <charset val="1"/>
      </rPr>
      <t xml:space="preserve">scale=ratio. EPAR </t>
    </r>
    <r>
      <rPr>
        <sz val="10"/>
        <rFont val="Noto Sans CJK SC"/>
        <family val="2"/>
      </rPr>
      <t xml:space="preserve">주 통계표가 체중 보정 </t>
    </r>
    <r>
      <rPr>
        <sz val="10"/>
        <rFont val="Arial"/>
        <family val="0"/>
        <charset val="1"/>
      </rPr>
      <t xml:space="preserve">ANCOVA</t>
    </r>
  </si>
  <si>
    <t xml:space="preserve">G-ABP-026</t>
  </si>
  <si>
    <t xml:space="preserve">1.0124 (0.9289, 1.1034)</t>
  </si>
  <si>
    <t xml:space="preserve">G-ABP-027</t>
  </si>
  <si>
    <t xml:space="preserve">US_RP_vs_EU_RP</t>
  </si>
  <si>
    <t xml:space="preserve">0.9276 (0.8514, 1.0107)</t>
  </si>
  <si>
    <r>
      <rPr>
        <sz val="10"/>
        <rFont val="Noto Sans CJK SC"/>
        <family val="2"/>
      </rPr>
      <t xml:space="preserve">원문 비교 방향 </t>
    </r>
    <r>
      <rPr>
        <sz val="10"/>
        <rFont val="Arial"/>
        <family val="0"/>
        <charset val="1"/>
      </rPr>
      <t xml:space="preserve">= US/EU (</t>
    </r>
    <r>
      <rPr>
        <sz val="10"/>
        <rFont val="Noto Sans CJK SC"/>
        <family val="2"/>
      </rPr>
      <t xml:space="preserve">분자 </t>
    </r>
    <r>
      <rPr>
        <sz val="10"/>
        <rFont val="Arial"/>
        <family val="0"/>
        <charset val="1"/>
      </rPr>
      <t xml:space="preserve">US). </t>
    </r>
    <r>
      <rPr>
        <sz val="10"/>
        <rFont val="Noto Sans CJK SC"/>
        <family val="2"/>
      </rPr>
      <t xml:space="preserve">뒤집지 않고 기록</t>
    </r>
  </si>
  <si>
    <t xml:space="preserve">G-ABP-028</t>
  </si>
  <si>
    <t xml:space="preserve">0.9428 (0.8685, 1.0235)</t>
  </si>
  <si>
    <t xml:space="preserve">G-ABP-029</t>
  </si>
  <si>
    <t xml:space="preserve">1.0162 (0.9358, 1.1035)</t>
  </si>
  <si>
    <t xml:space="preserve">G-ABP-030</t>
  </si>
  <si>
    <t xml:space="preserve">0.9278 (0.8549, 1.0069)</t>
  </si>
  <si>
    <t xml:space="preserve">G-ABP-031</t>
  </si>
  <si>
    <t xml:space="preserve">0.9452 (0.8779, 1.0175)</t>
  </si>
  <si>
    <t xml:space="preserve">G-ABP-032</t>
  </si>
  <si>
    <t xml:space="preserve">1.0030 (0.9314, 1.0801)</t>
  </si>
  <si>
    <t xml:space="preserve">G-ABP-033</t>
  </si>
  <si>
    <t xml:space="preserve">0.9423 (0.8755, 1.0143)</t>
  </si>
  <si>
    <t xml:space="preserve">G-ABP-034</t>
  </si>
  <si>
    <t xml:space="preserve">Therefore, PK similarity was demonstrated between ABP 654 and ustekinumab (US), ABP 654 and ustekinumab (EU), and ustekinumab (US) and ustekinumab (EU).</t>
  </si>
  <si>
    <t xml:space="preserve">G-ABP-035</t>
  </si>
  <si>
    <t xml:space="preserve">G-ABP-036</t>
  </si>
  <si>
    <t xml:space="preserve">G-CTP11-001</t>
  </si>
  <si>
    <t xml:space="preserve">P_CTP43</t>
  </si>
  <si>
    <t xml:space="preserve">Phase 1</t>
  </si>
  <si>
    <t xml:space="preserve">SRC_EPAR_STQ</t>
  </si>
  <si>
    <t xml:space="preserve">Page 31/133</t>
  </si>
  <si>
    <t xml:space="preserve">Methods</t>
  </si>
  <si>
    <t xml:space="preserve">Study CT-P43 1.1 was a Phase 1, 2-part, randomised, double-blind, 3-arm, parallel group, single dose study</t>
  </si>
  <si>
    <t xml:space="preserve">G-CTP11-002</t>
  </si>
  <si>
    <t xml:space="preserve">healthy male subjects</t>
  </si>
  <si>
    <t xml:space="preserve">in healthy male subjects</t>
  </si>
  <si>
    <t xml:space="preserve">G-CTP11-003</t>
  </si>
  <si>
    <r>
      <rPr>
        <sz val="10"/>
        <rFont val="Arial"/>
        <family val="0"/>
        <charset val="1"/>
      </rPr>
      <t xml:space="preserve">2-part, randomised, double-blind, 3-arm, parallel group, single dose (Part 2 = PK </t>
    </r>
    <r>
      <rPr>
        <sz val="10"/>
        <rFont val="Noto Sans CJK SC"/>
        <family val="2"/>
      </rPr>
      <t xml:space="preserve">유사성</t>
    </r>
    <r>
      <rPr>
        <sz val="10"/>
        <rFont val="Arial"/>
        <family val="0"/>
        <charset val="1"/>
      </rPr>
      <t xml:space="preserve">)</t>
    </r>
  </si>
  <si>
    <t xml:space="preserve">G-CTP11-004</t>
  </si>
  <si>
    <t xml:space="preserve">subjects were randomised in a 1:1:1 ratio to receive a single dose (45 mg/0.5 mL) of CT-P43, EU-approved Stelara, or US-licensed Stelara.</t>
  </si>
  <si>
    <t xml:space="preserve">G-CTP11-005</t>
  </si>
  <si>
    <t xml:space="preserve">SC (PFS)</t>
  </si>
  <si>
    <t xml:space="preserve">administered subcutaneously via pre-filled syringe (PFS) on Day 1</t>
  </si>
  <si>
    <t xml:space="preserve">G-CTP11-006</t>
  </si>
  <si>
    <t xml:space="preserve">AUC0-inf; Cmax</t>
  </si>
  <si>
    <t xml:space="preserve">Primary objective</t>
  </si>
  <si>
    <t xml:space="preserve">To demonstrate pharmacokinetic (PK) similarity in terms of area under the concentration-time curve from time zero to infinity (AUC0-inf) and maximum serum concentration (Cmax)</t>
  </si>
  <si>
    <t xml:space="preserve">G-CTP11-007</t>
  </si>
  <si>
    <t xml:space="preserve">80.00% to 125.00%</t>
  </si>
  <si>
    <t xml:space="preserve">Statistical methods</t>
  </si>
  <si>
    <t xml:space="preserve">were to be contained within the acceptance interval of 80.00% to 125.00% to demonstrate similarity</t>
  </si>
  <si>
    <t xml:space="preserve">G-CTP11-008</t>
  </si>
  <si>
    <t xml:space="preserve">MSD-ECL / MSD-ECL with SPEAD</t>
  </si>
  <si>
    <t xml:space="preserve">Page 30/133</t>
  </si>
  <si>
    <t xml:space="preserve">Bioanalytical methods</t>
  </si>
  <si>
    <t xml:space="preserve">(using MSD-ECL and MSD-ECL with SPEAD)</t>
  </si>
  <si>
    <r>
      <rPr>
        <sz val="10"/>
        <rFont val="Arial"/>
        <family val="0"/>
        <charset val="1"/>
      </rPr>
      <t xml:space="preserve">ADA·NAb </t>
    </r>
    <r>
      <rPr>
        <sz val="10"/>
        <rFont val="Noto Sans CJK SC"/>
        <family val="2"/>
      </rPr>
      <t xml:space="preserve">분석법을 이름으로 구분하지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상 시험 공통 서술</t>
    </r>
  </si>
  <si>
    <t xml:space="preserve">G-CTP12-001</t>
  </si>
  <si>
    <t xml:space="preserve">Page 39/133</t>
  </si>
  <si>
    <t xml:space="preserve">Study CT-P43 1.2 was a Phase I, Randomised, Double-Blind, Parallel Group, Single-Dose Study</t>
  </si>
  <si>
    <t xml:space="preserve">G-CTP12-002</t>
  </si>
  <si>
    <t xml:space="preserve">Healthy Japanese male subjects</t>
  </si>
  <si>
    <t xml:space="preserve">in Healthy Japanese Male Subjects</t>
  </si>
  <si>
    <t xml:space="preserve">G-CTP12-003</t>
  </si>
  <si>
    <r>
      <rPr>
        <sz val="10"/>
        <rFont val="Arial"/>
        <family val="0"/>
        <charset val="1"/>
      </rPr>
      <t xml:space="preserve">Randomised, Double-Blind, Parallel Group, Single-Dose (3</t>
    </r>
    <r>
      <rPr>
        <sz val="10"/>
        <rFont val="Noto Sans CJK SC"/>
        <family val="2"/>
      </rPr>
      <t xml:space="preserve">군</t>
    </r>
    <r>
      <rPr>
        <sz val="10"/>
        <rFont val="Arial"/>
        <family val="0"/>
        <charset val="1"/>
      </rPr>
      <t xml:space="preserve">: CT-P43, EU-, US-Stelara)</t>
    </r>
  </si>
  <si>
    <t xml:space="preserve">G-CTP12-004</t>
  </si>
  <si>
    <t xml:space="preserve">randomised in a 1:1:1 ratio to receive a single dose (45 mg/0.5 mL) of CT-P43, EU-approved Stelara or US-licensed Stelara.</t>
  </si>
  <si>
    <t xml:space="preserve">G-CTP12-005</t>
  </si>
  <si>
    <t xml:space="preserve">All subjects received a single dose of study drug subcutaneously via PFS on Day 1</t>
  </si>
  <si>
    <t xml:space="preserve">G-CTP12-006</t>
  </si>
  <si>
    <t xml:space="preserve">as well as to demonstrate similarity between EU-Stelara and US-Stelara, in terms of Cmax and AUC0-inf.</t>
  </si>
  <si>
    <t xml:space="preserve">G-CTP12-007</t>
  </si>
  <si>
    <t xml:space="preserve">Page 40/133</t>
  </si>
  <si>
    <t xml:space="preserve">G-CTP12-008</t>
  </si>
  <si>
    <t xml:space="preserve">G-CTP11-009</t>
  </si>
  <si>
    <t xml:space="preserve">Page 32/133</t>
  </si>
  <si>
    <t xml:space="preserve">Results</t>
  </si>
  <si>
    <t xml:space="preserve">A total of 241 subjects were randomly assigned to a treatment group for Part 2 (80 subjects in the CT- P43 treatment group, 82 subjects in the EU-approved Stelara, and 79 subjects in the US-licensed Stelara treatment group).</t>
  </si>
  <si>
    <t xml:space="preserve">p29 Table 2 (Part 2 Randomised: 241)</t>
  </si>
  <si>
    <t xml:space="preserve">G-CTP11-010</t>
  </si>
  <si>
    <t xml:space="preserve">82</t>
  </si>
  <si>
    <t xml:space="preserve">G-CTP11-011</t>
  </si>
  <si>
    <t xml:space="preserve">G-CTP11-012</t>
  </si>
  <si>
    <t xml:space="preserve">N=80</t>
  </si>
  <si>
    <t xml:space="preserve">Page 38/133</t>
  </si>
  <si>
    <r>
      <rPr>
        <sz val="10"/>
        <rFont val="Arial"/>
        <family val="0"/>
        <charset val="1"/>
      </rPr>
      <t xml:space="preserve">Table 8 </t>
    </r>
    <r>
      <rPr>
        <sz val="10"/>
        <rFont val="Noto Sans CJK SC"/>
        <family val="2"/>
      </rPr>
      <t xml:space="preserve">머리글 </t>
    </r>
    <r>
      <rPr>
        <sz val="10"/>
        <rFont val="Arial"/>
        <family val="0"/>
        <charset val="1"/>
      </rPr>
      <t xml:space="preserve">(PK set)</t>
    </r>
  </si>
  <si>
    <r>
      <rPr>
        <sz val="10"/>
        <rFont val="Noto Sans CJK SC"/>
        <family val="2"/>
      </rPr>
      <t xml:space="preserve">본문에 </t>
    </r>
    <r>
      <rPr>
        <sz val="10"/>
        <rFont val="Arial"/>
        <family val="0"/>
        <charset val="1"/>
      </rPr>
      <t xml:space="preserve">PK set </t>
    </r>
    <r>
      <rPr>
        <sz val="10"/>
        <rFont val="Noto Sans CJK SC"/>
        <family val="2"/>
      </rPr>
      <t xml:space="preserve">군별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서술 없음</t>
    </r>
    <r>
      <rPr>
        <sz val="10"/>
        <rFont val="Arial"/>
        <family val="0"/>
        <charset val="1"/>
      </rPr>
      <t xml:space="preserve">. Table 6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Cmax n</t>
    </r>
    <r>
      <rPr>
        <sz val="10"/>
        <rFont val="Noto Sans CJK SC"/>
        <family val="2"/>
      </rPr>
      <t xml:space="preserve">과 일치</t>
    </r>
  </si>
  <si>
    <t xml:space="preserve">G-CTP11-013</t>
  </si>
  <si>
    <t xml:space="preserve">N=81</t>
  </si>
  <si>
    <t xml:space="preserve">G-CTP11-014</t>
  </si>
  <si>
    <t xml:space="preserve">N=77</t>
  </si>
  <si>
    <t xml:space="preserve">G-CTP11-015</t>
  </si>
  <si>
    <t xml:space="preserve">Through EOS (Day 127)</t>
  </si>
  <si>
    <t xml:space="preserve">13 [16.3%]</t>
  </si>
  <si>
    <r>
      <rPr>
        <sz val="10"/>
        <rFont val="Arial"/>
        <family val="0"/>
        <charset val="1"/>
      </rPr>
      <t xml:space="preserve">ALL_SUBJECTS (Safety Set Part 2, </t>
    </r>
    <r>
      <rPr>
        <sz val="10"/>
        <rFont val="Noto Sans CJK SC"/>
        <family val="2"/>
      </rPr>
      <t xml:space="preserve">군별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본문 미기재</t>
    </r>
    <r>
      <rPr>
        <sz val="10"/>
        <rFont val="Arial"/>
        <family val="0"/>
        <charset val="1"/>
      </rPr>
      <t xml:space="preserve">)</t>
    </r>
  </si>
  <si>
    <t xml:space="preserve">Page 111/133</t>
  </si>
  <si>
    <t xml:space="preserve">2.3.8.7 Immunological events</t>
  </si>
  <si>
    <t xml:space="preserve">(13 [16.3%] in the CT-P43 treatment group, 24 [29.3%] in the EU- Stelara treatment group, and 34 [43.6%] subjects in the US- Stelara treatment group)</t>
  </si>
  <si>
    <r>
      <rPr>
        <sz val="10"/>
        <rFont val="Arial"/>
        <family val="0"/>
        <charset val="1"/>
      </rPr>
      <t xml:space="preserve">p36 (CT-P43·EU </t>
    </r>
    <r>
      <rPr>
        <sz val="10"/>
        <rFont val="Noto Sans CJK SC"/>
        <family val="2"/>
      </rPr>
      <t xml:space="preserve">값만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</si>
  <si>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투여 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</t>
    </r>
    <r>
      <rPr>
        <sz val="10"/>
        <rFont val="Arial"/>
        <family val="0"/>
        <charset val="1"/>
      </rPr>
      <t xml:space="preserve">ADA </t>
    </r>
    <r>
      <rPr>
        <sz val="10"/>
        <rFont val="Noto Sans CJK SC"/>
        <family val="2"/>
      </rPr>
      <t xml:space="preserve">양성</t>
    </r>
  </si>
  <si>
    <t xml:space="preserve">G-CTP11-016</t>
  </si>
  <si>
    <t xml:space="preserve">24 [29.3%]</t>
  </si>
  <si>
    <t xml:space="preserve">G-CTP11-017</t>
  </si>
  <si>
    <t xml:space="preserve">34 [43.6%]</t>
  </si>
  <si>
    <t xml:space="preserve">G-CTP11-018</t>
  </si>
  <si>
    <t xml:space="preserve">5 [6.3%]</t>
  </si>
  <si>
    <t xml:space="preserve">(5 [6.3%] subjects in the CT-P43 treatment group, 6 [7.3%] subjects in the EU-approved Stelara treatment group, and 9 [11.5%] subjects in the US-licensed Stelara treatment group)</t>
  </si>
  <si>
    <t xml:space="preserve">G-CTP11-019</t>
  </si>
  <si>
    <t xml:space="preserve">6 [7.3%]</t>
  </si>
  <si>
    <t xml:space="preserve">G-CTP11-020</t>
  </si>
  <si>
    <t xml:space="preserve">9 [11.5%]</t>
  </si>
  <si>
    <t xml:space="preserve">G-CTP11-021</t>
  </si>
  <si>
    <t xml:space="preserve">124.36 (115.58, 133.82)</t>
  </si>
  <si>
    <t xml:space="preserve">Page 35/133</t>
  </si>
  <si>
    <t xml:space="preserve">Table 6 (ANCOVA, PK Set)</t>
  </si>
  <si>
    <t xml:space="preserve">(115.58, 133.82)</t>
  </si>
  <si>
    <r>
      <rPr>
        <sz val="10"/>
        <rFont val="Arial"/>
        <family val="0"/>
        <charset val="1"/>
      </rPr>
      <t xml:space="preserve">AUC 90% CI </t>
    </r>
    <r>
      <rPr>
        <sz val="10"/>
        <rFont val="Noto Sans CJK SC"/>
        <family val="2"/>
      </rPr>
      <t xml:space="preserve">상한 </t>
    </r>
    <r>
      <rPr>
        <sz val="10"/>
        <rFont val="Arial"/>
        <family val="0"/>
        <charset val="1"/>
      </rPr>
      <t xml:space="preserve">&gt;125% → </t>
    </r>
    <r>
      <rPr>
        <sz val="10"/>
        <rFont val="Noto Sans CJK SC"/>
        <family val="2"/>
      </rPr>
      <t xml:space="preserve">동등성 미충족</t>
    </r>
  </si>
  <si>
    <t xml:space="preserve">G-CTP11-022</t>
  </si>
  <si>
    <t xml:space="preserve">126.40 (117.37, 136.13)</t>
  </si>
  <si>
    <t xml:space="preserve">(117.37, 136.13)</t>
  </si>
  <si>
    <t xml:space="preserve">G-CTP11-023</t>
  </si>
  <si>
    <t xml:space="preserve">101.64 (94.42, 109.41)</t>
  </si>
  <si>
    <t xml:space="preserve">(94.42, 109.41)</t>
  </si>
  <si>
    <r>
      <rPr>
        <sz val="10"/>
        <rFont val="Noto Sans CJK SC"/>
        <family val="2"/>
      </rPr>
      <t xml:space="preserve">원문 </t>
    </r>
    <r>
      <rPr>
        <sz val="10"/>
        <rFont val="Arial"/>
        <family val="0"/>
        <charset val="1"/>
      </rPr>
      <t xml:space="preserve">scale=% (percent)</t>
    </r>
  </si>
  <si>
    <t xml:space="preserve">G-CTP11-024</t>
  </si>
  <si>
    <t xml:space="preserve">116.18 (108.42, 124.49)</t>
  </si>
  <si>
    <t xml:space="preserve">(108.42, 124.49)</t>
  </si>
  <si>
    <t xml:space="preserve">G-CTP11-025</t>
  </si>
  <si>
    <t xml:space="preserve">112.02 (104.45, 120.13)</t>
  </si>
  <si>
    <t xml:space="preserve">(104.45, 120.13)</t>
  </si>
  <si>
    <t xml:space="preserve">G-CTP11-026</t>
  </si>
  <si>
    <t xml:space="preserve">96.42 (89.92, 103.38)</t>
  </si>
  <si>
    <t xml:space="preserve">(89.92, 103.38)</t>
  </si>
  <si>
    <t xml:space="preserve">G-CTP11-027</t>
  </si>
  <si>
    <r>
      <rPr>
        <sz val="10"/>
        <rFont val="Arial"/>
        <family val="0"/>
        <charset val="1"/>
      </rPr>
      <t xml:space="preserve">AUC0-last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p38 Table 8 </t>
    </r>
    <r>
      <rPr>
        <sz val="10"/>
        <rFont val="Noto Sans CJK SC"/>
        <family val="2"/>
      </rPr>
      <t xml:space="preserve">기술통계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만 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기하평균비 미보고</t>
    </r>
  </si>
  <si>
    <t xml:space="preserve">G-CTP11-028</t>
  </si>
  <si>
    <t xml:space="preserve">G-CTP11-029</t>
  </si>
  <si>
    <t xml:space="preserve">G-CTP11-030</t>
  </si>
  <si>
    <t xml:space="preserve">N</t>
  </si>
  <si>
    <r>
      <rPr>
        <sz val="10"/>
        <rFont val="Arial"/>
        <family val="0"/>
        <charset val="1"/>
      </rPr>
      <t xml:space="preserve">Table 6 </t>
    </r>
    <r>
      <rPr>
        <sz val="10"/>
        <rFont val="Noto Sans CJK SC"/>
        <family val="2"/>
      </rPr>
      <t xml:space="preserve">아래 본문</t>
    </r>
  </si>
  <si>
    <t xml:space="preserve">However, for AUC0-inf, the upper limit of the 90% CIs of the geometric LS means ratio of CT-P43 to EU- Stelara and that of CT-P43 to US-Stelara were above 125%</t>
  </si>
  <si>
    <t xml:space="preserve">G-CTP11-031</t>
  </si>
  <si>
    <t xml:space="preserve">G-CTP11-032</t>
  </si>
  <si>
    <r>
      <rPr>
        <sz val="10"/>
        <rFont val="Arial"/>
        <family val="0"/>
        <charset val="1"/>
      </rPr>
      <t xml:space="preserve">Y (A </t>
    </r>
    <r>
      <rPr>
        <sz val="10"/>
        <rFont val="Noto Sans CJK SC"/>
        <family val="2"/>
      </rPr>
      <t xml:space="preserve">제안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</si>
  <si>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조정 필요</t>
    </r>
    <r>
      <rPr>
        <sz val="10"/>
        <rFont val="Arial"/>
        <family val="0"/>
        <charset val="1"/>
      </rPr>
      <t xml:space="preserve">: EU/US </t>
    </r>
    <r>
      <rPr>
        <sz val="10"/>
        <rFont val="Noto Sans CJK SC"/>
        <family val="2"/>
      </rPr>
      <t xml:space="preserve">결론을 명시한 문장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실패한 두 비교만 열거한 문장에서 함의됨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규칙상 명시 문장 필요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검토자가 판정</t>
    </r>
  </si>
  <si>
    <t xml:space="preserve">G-CTP11-033</t>
  </si>
  <si>
    <t xml:space="preserve">POSTHOC_US_EXCL</t>
  </si>
  <si>
    <t xml:space="preserve">124.59 (116.71,133.01)</t>
  </si>
  <si>
    <t xml:space="preserve">Page 37/133</t>
  </si>
  <si>
    <r>
      <rPr>
        <sz val="10"/>
        <rFont val="Arial"/>
        <family val="0"/>
        <charset val="1"/>
      </rPr>
      <t xml:space="preserve">Table 7 'Original (unadjusted)' </t>
    </r>
    <r>
      <rPr>
        <sz val="10"/>
        <rFont val="Noto Sans CJK SC"/>
        <family val="2"/>
      </rPr>
      <t xml:space="preserve">행 </t>
    </r>
    <r>
      <rPr>
        <sz val="10"/>
        <rFont val="Arial"/>
        <family val="0"/>
        <charset val="1"/>
      </rPr>
      <t xml:space="preserve">(US </t>
    </r>
    <r>
      <rPr>
        <sz val="10"/>
        <rFont val="Noto Sans CJK SC"/>
        <family val="2"/>
      </rPr>
      <t xml:space="preserve">제외 </t>
    </r>
    <r>
      <rPr>
        <sz val="10"/>
        <rFont val="Arial"/>
        <family val="0"/>
        <charset val="1"/>
      </rPr>
      <t xml:space="preserve">ANCOVA)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</si>
  <si>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분석</t>
    </r>
    <r>
      <rPr>
        <sz val="10"/>
        <rFont val="Arial"/>
        <family val="0"/>
        <charset val="1"/>
      </rPr>
      <t xml:space="preserve">(124.36/116.18)</t>
    </r>
    <r>
      <rPr>
        <sz val="10"/>
        <rFont val="Noto Sans CJK SC"/>
        <family val="2"/>
      </rPr>
      <t xml:space="preserve">과 다른 값 — </t>
    </r>
    <r>
      <rPr>
        <sz val="10"/>
        <rFont val="Arial"/>
        <family val="0"/>
        <charset val="1"/>
      </rPr>
      <t xml:space="preserve">US</t>
    </r>
    <r>
      <rPr>
        <sz val="10"/>
        <rFont val="Noto Sans CJK SC"/>
        <family val="2"/>
      </rPr>
      <t xml:space="preserve">군 제외 모델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분석 함정 사례</t>
    </r>
  </si>
  <si>
    <t xml:space="preserve">G-CTP11-034</t>
  </si>
  <si>
    <t xml:space="preserve">116.50 (109.05,124.46)</t>
  </si>
  <si>
    <t xml:space="preserve">G-CTP11-035</t>
  </si>
  <si>
    <t xml:space="preserve">POSTHOC_ALL_ADJ</t>
  </si>
  <si>
    <t xml:space="preserve">114.32 (106.51,122.71)</t>
  </si>
  <si>
    <r>
      <rPr>
        <sz val="10"/>
        <rFont val="Arial"/>
        <family val="0"/>
        <charset val="1"/>
      </rPr>
      <t xml:space="preserve">Table 7 '</t>
    </r>
    <r>
      <rPr>
        <sz val="10"/>
        <rFont val="Noto Sans CJK SC"/>
        <family val="2"/>
      </rPr>
      <t xml:space="preserve">단백질 함량 보정 </t>
    </r>
    <r>
      <rPr>
        <sz val="10"/>
        <rFont val="Arial"/>
        <family val="0"/>
        <charset val="1"/>
      </rPr>
      <t xml:space="preserve">&amp; ADA </t>
    </r>
    <r>
      <rPr>
        <sz val="10"/>
        <rFont val="Noto Sans CJK SC"/>
        <family val="2"/>
      </rPr>
      <t xml:space="preserve">음성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체중 </t>
    </r>
    <r>
      <rPr>
        <sz val="10"/>
        <rFont val="Arial"/>
        <family val="0"/>
        <charset val="1"/>
      </rPr>
      <t xml:space="preserve">60–90 kg' </t>
    </r>
    <r>
      <rPr>
        <sz val="10"/>
        <rFont val="Noto Sans CJK SC"/>
        <family val="2"/>
      </rPr>
      <t xml:space="preserve">행</t>
    </r>
  </si>
  <si>
    <r>
      <rPr>
        <sz val="10"/>
        <rFont val="Noto Sans CJK SC"/>
        <family val="2"/>
      </rPr>
      <t xml:space="preserve">사후 보정 분석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허가 판단의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근거 아님</t>
    </r>
  </si>
  <si>
    <t xml:space="preserve">G-CTP11-036</t>
  </si>
  <si>
    <t xml:space="preserve">111.37 (103.03,120.37)</t>
  </si>
  <si>
    <t xml:space="preserve">G-CTP12-009</t>
  </si>
  <si>
    <t xml:space="preserve">114</t>
  </si>
  <si>
    <t xml:space="preserve">Page 29/133</t>
  </si>
  <si>
    <r>
      <rPr>
        <sz val="10"/>
        <rFont val="Arial"/>
        <family val="0"/>
        <charset val="1"/>
      </rPr>
      <t xml:space="preserve">Table 2 Overview (</t>
    </r>
    <r>
      <rPr>
        <sz val="10"/>
        <rFont val="Noto Sans CJK SC"/>
        <family val="2"/>
      </rPr>
      <t xml:space="preserve">텍스트 표</t>
    </r>
    <r>
      <rPr>
        <sz val="10"/>
        <rFont val="Arial"/>
        <family val="0"/>
        <charset val="1"/>
      </rPr>
      <t xml:space="preserve">)</t>
    </r>
  </si>
  <si>
    <t xml:space="preserve">CT-P43: 114</t>
  </si>
  <si>
    <r>
      <rPr>
        <sz val="10"/>
        <rFont val="Arial"/>
        <family val="0"/>
        <charset val="1"/>
      </rPr>
      <t xml:space="preserve">p40 (</t>
    </r>
    <r>
      <rPr>
        <sz val="10"/>
        <rFont val="Noto Sans CJK SC"/>
        <family val="2"/>
      </rPr>
      <t xml:space="preserve">투여 </t>
    </r>
    <r>
      <rPr>
        <sz val="10"/>
        <rFont val="Arial"/>
        <family val="0"/>
        <charset val="1"/>
      </rPr>
      <t xml:space="preserve">111/108/106)</t>
    </r>
  </si>
  <si>
    <r>
      <rPr>
        <sz val="10"/>
        <rFont val="Noto Sans CJK SC"/>
        <family val="2"/>
      </rPr>
      <t xml:space="preserve">표의 텍스트 층에서 열 순서가 섞여 있음</t>
    </r>
    <r>
      <rPr>
        <sz val="10"/>
        <rFont val="Arial"/>
        <family val="0"/>
        <charset val="1"/>
      </rPr>
      <t xml:space="preserve">(p29 'Randomised: 331' </t>
    </r>
    <r>
      <rPr>
        <sz val="10"/>
        <rFont val="Noto Sans CJK SC"/>
        <family val="2"/>
      </rPr>
      <t xml:space="preserve">뒤에 군별 수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화면 대조 권장</t>
    </r>
  </si>
  <si>
    <t xml:space="preserve">G-CTP12-010</t>
  </si>
  <si>
    <t xml:space="preserve">110</t>
  </si>
  <si>
    <t xml:space="preserve">EU-Stelara: 110</t>
  </si>
  <si>
    <t xml:space="preserve">G-CTP12-011</t>
  </si>
  <si>
    <t xml:space="preserve">107</t>
  </si>
  <si>
    <t xml:space="preserve">US-Stelara: 107</t>
  </si>
  <si>
    <t xml:space="preserve">G-CTP12-012</t>
  </si>
  <si>
    <t xml:space="preserve">N=110</t>
  </si>
  <si>
    <t xml:space="preserve">Page 45/133</t>
  </si>
  <si>
    <r>
      <rPr>
        <sz val="10"/>
        <rFont val="Arial"/>
        <family val="0"/>
        <charset val="1"/>
      </rPr>
      <t xml:space="preserve">Table 14 </t>
    </r>
    <r>
      <rPr>
        <sz val="10"/>
        <rFont val="Noto Sans CJK SC"/>
        <family val="2"/>
      </rPr>
      <t xml:space="preserve">머리글 </t>
    </r>
    <r>
      <rPr>
        <sz val="10"/>
        <rFont val="Arial"/>
        <family val="0"/>
        <charset val="1"/>
      </rPr>
      <t xml:space="preserve">(PK set)</t>
    </r>
  </si>
  <si>
    <r>
      <rPr>
        <sz val="10"/>
        <rFont val="Noto Sans CJK SC"/>
        <family val="2"/>
      </rPr>
      <t xml:space="preserve">본문에 </t>
    </r>
    <r>
      <rPr>
        <sz val="10"/>
        <rFont val="Arial"/>
        <family val="0"/>
        <charset val="1"/>
      </rPr>
      <t xml:space="preserve">PK set </t>
    </r>
    <r>
      <rPr>
        <sz val="10"/>
        <rFont val="Noto Sans CJK SC"/>
        <family val="2"/>
      </rPr>
      <t xml:space="preserve">군별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서술 없음</t>
    </r>
    <r>
      <rPr>
        <sz val="10"/>
        <rFont val="Arial"/>
        <family val="0"/>
        <charset val="1"/>
      </rPr>
      <t xml:space="preserve">. Table 12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Cmax n</t>
    </r>
    <r>
      <rPr>
        <sz val="10"/>
        <rFont val="Noto Sans CJK SC"/>
        <family val="2"/>
      </rPr>
      <t xml:space="preserve">과 일치</t>
    </r>
  </si>
  <si>
    <t xml:space="preserve">G-CTP12-013</t>
  </si>
  <si>
    <t xml:space="preserve">N=105</t>
  </si>
  <si>
    <t xml:space="preserve">G-CTP12-014</t>
  </si>
  <si>
    <t xml:space="preserve">G-CTP12-015</t>
  </si>
  <si>
    <t xml:space="preserve">Through EOS (Day 113)</t>
  </si>
  <si>
    <t xml:space="preserve">18 [16.2%]</t>
  </si>
  <si>
    <t xml:space="preserve">ALL_SUBJECTS (Safety Set)</t>
  </si>
  <si>
    <t xml:space="preserve">Page 112/133</t>
  </si>
  <si>
    <t xml:space="preserve">(18 [16.2%] in the CT-P43 treatment arm, 48 [44.4%] in the EU- Stelara treatment arm, and 42 [39.6%] subjects in the US- Stelara treatment arm)</t>
  </si>
  <si>
    <r>
      <rPr>
        <sz val="10"/>
        <rFont val="Noto Sans CJK SC"/>
        <family val="2"/>
      </rPr>
      <t xml:space="preserve">문장이 </t>
    </r>
    <r>
      <rPr>
        <sz val="10"/>
        <rFont val="Arial"/>
        <family val="0"/>
        <charset val="1"/>
      </rPr>
      <t xml:space="preserve">p111</t>
    </r>
    <r>
      <rPr>
        <sz val="10"/>
        <rFont val="Noto Sans CJK SC"/>
        <family val="2"/>
      </rPr>
      <t xml:space="preserve">에서 시작해 </t>
    </r>
    <r>
      <rPr>
        <sz val="10"/>
        <rFont val="Arial"/>
        <family val="0"/>
        <charset val="1"/>
      </rPr>
      <t xml:space="preserve">p112</t>
    </r>
    <r>
      <rPr>
        <sz val="10"/>
        <rFont val="Noto Sans CJK SC"/>
        <family val="2"/>
      </rPr>
      <t xml:space="preserve">에 값이 있음</t>
    </r>
  </si>
  <si>
    <t xml:space="preserve">G-CTP12-016</t>
  </si>
  <si>
    <t xml:space="preserve">48 [44.4%]</t>
  </si>
  <si>
    <t xml:space="preserve">G-CTP12-017</t>
  </si>
  <si>
    <t xml:space="preserve">42 [39.6%]</t>
  </si>
  <si>
    <t xml:space="preserve">G-CTP12-018</t>
  </si>
  <si>
    <t xml:space="preserve">14 [12.6%]</t>
  </si>
  <si>
    <t xml:space="preserve">(14 [12.6%] subjects in the CT-P43 treatment arm, 18 [16.7%] subjects in the EU-approved Stelara treatment arm, and 16 [15.1%] subjects in the US-licensed Stelara treatment arm)</t>
  </si>
  <si>
    <t xml:space="preserve">G-CTP12-019</t>
  </si>
  <si>
    <t xml:space="preserve">18 [16.7%]</t>
  </si>
  <si>
    <t xml:space="preserve">G-CTP12-020</t>
  </si>
  <si>
    <t xml:space="preserve">16 [15.1%]</t>
  </si>
  <si>
    <t xml:space="preserve">G-CTP12-021</t>
  </si>
  <si>
    <t xml:space="preserve">108.31 (102.07, 114.94)</t>
  </si>
  <si>
    <t xml:space="preserve">Page 43/133</t>
  </si>
  <si>
    <t xml:space="preserve">Table 12 (ANCOVA, PK Set)</t>
  </si>
  <si>
    <t xml:space="preserve">(102.07, 114.94)</t>
  </si>
  <si>
    <r>
      <rPr>
        <sz val="10"/>
        <rFont val="Arial"/>
        <family val="0"/>
        <charset val="1"/>
      </rPr>
      <t xml:space="preserve">p44 Table 13 (</t>
    </r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동일 값</t>
    </r>
    <r>
      <rPr>
        <sz val="10"/>
        <rFont val="Arial"/>
        <family val="0"/>
        <charset val="1"/>
      </rPr>
      <t xml:space="preserve">)</t>
    </r>
  </si>
  <si>
    <t xml:space="preserve">G-CTP12-022</t>
  </si>
  <si>
    <t xml:space="preserve">100.56 (94.76, 106.71)</t>
  </si>
  <si>
    <t xml:space="preserve">(94.76, 106.71)</t>
  </si>
  <si>
    <t xml:space="preserve">G-CTP12-023</t>
  </si>
  <si>
    <t xml:space="preserve">92.84 (87.44, 98.57)</t>
  </si>
  <si>
    <t xml:space="preserve">(87.44, 98.57)</t>
  </si>
  <si>
    <t xml:space="preserve">G-CTP12-024</t>
  </si>
  <si>
    <t xml:space="preserve">101.25 (95.14, 107.76)</t>
  </si>
  <si>
    <t xml:space="preserve">(95.14, 107.76)</t>
  </si>
  <si>
    <t xml:space="preserve">G-CTP12-025</t>
  </si>
  <si>
    <t xml:space="preserve">95.03 (89.29, 101.13)</t>
  </si>
  <si>
    <t xml:space="preserve">(89.29, 101.13)</t>
  </si>
  <si>
    <t xml:space="preserve">G-CTP12-026</t>
  </si>
  <si>
    <t xml:space="preserve">93.85 (88.12, 99.96)</t>
  </si>
  <si>
    <t xml:space="preserve">(88.12, 99.96)</t>
  </si>
  <si>
    <t xml:space="preserve">G-CTP12-027</t>
  </si>
  <si>
    <r>
      <rPr>
        <sz val="10"/>
        <rFont val="Arial"/>
        <family val="0"/>
        <charset val="1"/>
      </rPr>
      <t xml:space="preserve">p45 Table 14(</t>
    </r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Tmax·t1/2·%AUCextrap</t>
    </r>
    <r>
      <rPr>
        <sz val="10"/>
        <rFont val="Noto Sans CJK SC"/>
        <family val="2"/>
      </rPr>
      <t xml:space="preserve">만 보고</t>
    </r>
    <r>
      <rPr>
        <sz val="10"/>
        <rFont val="Arial"/>
        <family val="0"/>
        <charset val="1"/>
      </rPr>
      <t xml:space="preserve">. AUClast </t>
    </r>
    <r>
      <rPr>
        <sz val="10"/>
        <rFont val="Noto Sans CJK SC"/>
        <family val="2"/>
      </rPr>
      <t xml:space="preserve">기하평균비 없음</t>
    </r>
  </si>
  <si>
    <t xml:space="preserve">G-CTP12-028</t>
  </si>
  <si>
    <t xml:space="preserve">Page 44/133</t>
  </si>
  <si>
    <r>
      <rPr>
        <sz val="10"/>
        <rFont val="Arial"/>
        <family val="0"/>
        <charset val="1"/>
      </rPr>
      <t xml:space="preserve">Table 13 </t>
    </r>
    <r>
      <rPr>
        <sz val="10"/>
        <rFont val="Noto Sans CJK SC"/>
        <family val="2"/>
      </rPr>
      <t xml:space="preserve">아래 본문</t>
    </r>
  </si>
  <si>
    <t xml:space="preserve">indicating that PK similarity was achieved for CT-P43, EU-approved Stelara and US-licensed Stelara.</t>
  </si>
  <si>
    <t xml:space="preserve">G-CTP12-029</t>
  </si>
  <si>
    <t xml:space="preserve">G-CTP12-030</t>
  </si>
  <si>
    <t xml:space="preserve">G-CTP12-031</t>
  </si>
  <si>
    <t xml:space="preserve">G-CTP12-032</t>
  </si>
  <si>
    <t xml:space="preserve">G-CTPPL-001</t>
  </si>
  <si>
    <t xml:space="preserve">ST_CTP43_POOLED</t>
  </si>
  <si>
    <t xml:space="preserve">POOLED_POSTHOC</t>
  </si>
  <si>
    <r>
      <rPr>
        <sz val="10"/>
        <rFont val="Arial"/>
        <family val="0"/>
        <charset val="1"/>
      </rPr>
      <t xml:space="preserve">90% CI (109.55, 120.30) — </t>
    </r>
    <r>
      <rPr>
        <sz val="10"/>
        <rFont val="Noto Sans CJK SC"/>
        <family val="2"/>
      </rPr>
      <t xml:space="preserve">점추정치 미보고</t>
    </r>
  </si>
  <si>
    <t xml:space="preserve">Page 51/133</t>
  </si>
  <si>
    <t xml:space="preserve">Post-Hoc pooled analysis</t>
  </si>
  <si>
    <t xml:space="preserve">(AUC0-inf 109.55, 120.30, Cmax 102.45, 112.48)</t>
  </si>
  <si>
    <r>
      <rPr>
        <sz val="10"/>
        <rFont val="Noto Sans CJK SC"/>
        <family val="2"/>
      </rPr>
      <t xml:space="preserve">부분 보고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신뢰구간만 있고 점추정치 없음 → </t>
    </r>
    <r>
      <rPr>
        <sz val="10"/>
        <rFont val="Arial"/>
        <family val="0"/>
        <charset val="1"/>
      </rPr>
      <t xml:space="preserve">value_num </t>
    </r>
    <r>
      <rPr>
        <sz val="10"/>
        <rFont val="Noto Sans CJK SC"/>
        <family val="2"/>
      </rPr>
      <t xml:space="preserve">비움</t>
    </r>
  </si>
  <si>
    <t xml:space="preserve">G-CTPPL-002</t>
  </si>
  <si>
    <r>
      <rPr>
        <sz val="10"/>
        <rFont val="Arial"/>
        <family val="0"/>
        <charset val="1"/>
      </rPr>
      <t xml:space="preserve">90% CI (102.45, 112.48) — </t>
    </r>
    <r>
      <rPr>
        <sz val="10"/>
        <rFont val="Noto Sans CJK SC"/>
        <family val="2"/>
      </rPr>
      <t xml:space="preserve">점추정치 미보고</t>
    </r>
  </si>
  <si>
    <t xml:space="preserve">sponsor_study_code</t>
  </si>
  <si>
    <t xml:space="preserve">registry_ids</t>
  </si>
  <si>
    <t xml:space="preserve">phase</t>
  </si>
  <si>
    <t xml:space="preserve">population</t>
  </si>
  <si>
    <t xml:space="preserve">design</t>
  </si>
  <si>
    <t xml:space="preserve">purpose</t>
  </si>
  <si>
    <t xml:space="preserve">role_in_dossier</t>
  </si>
  <si>
    <t xml:space="preserve">arms_randomized</t>
  </si>
  <si>
    <t xml:space="preserve">dose_route</t>
  </si>
  <si>
    <t xml:space="preserve">in_eval_set</t>
  </si>
  <si>
    <t xml:space="preserve">selection_reason</t>
  </si>
  <si>
    <t xml:space="preserve">epar_location</t>
  </si>
  <si>
    <t xml:space="preserve">verified</t>
  </si>
  <si>
    <t xml:space="preserve">SB17-1001</t>
  </si>
  <si>
    <t xml:space="preserve">NCT04772274</t>
  </si>
  <si>
    <t xml:space="preserve">1</t>
  </si>
  <si>
    <r>
      <rPr>
        <sz val="10"/>
        <rFont val="Noto Sans CJK SC"/>
        <family val="2"/>
      </rPr>
      <t xml:space="preserve">건강인 남녀 </t>
    </r>
    <r>
      <rPr>
        <sz val="10"/>
        <rFont val="Arial"/>
        <family val="0"/>
        <charset val="1"/>
      </rPr>
      <t xml:space="preserve">18–55</t>
    </r>
    <r>
      <rPr>
        <sz val="10"/>
        <rFont val="Noto Sans CJK SC"/>
        <family val="2"/>
      </rPr>
      <t xml:space="preserve">세</t>
    </r>
  </si>
  <si>
    <r>
      <rPr>
        <sz val="10"/>
        <rFont val="Noto Sans CJK SC"/>
        <family val="2"/>
      </rPr>
      <t xml:space="preserve">무작위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이중맹검</t>
    </r>
    <r>
      <rPr>
        <sz val="10"/>
        <rFont val="Arial"/>
        <family val="0"/>
        <charset val="1"/>
      </rPr>
      <t xml:space="preserve">, 3</t>
    </r>
    <r>
      <rPr>
        <sz val="10"/>
        <rFont val="Noto Sans CJK SC"/>
        <family val="2"/>
      </rPr>
      <t xml:space="preserve">군 병행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단회투여</t>
    </r>
  </si>
  <si>
    <t xml:space="preserve">PK_SIMILARITY</t>
  </si>
  <si>
    <t xml:space="preserve">PIVOTAL_PK</t>
  </si>
  <si>
    <r>
      <rPr>
        <sz val="10"/>
        <rFont val="Arial"/>
        <family val="0"/>
        <charset val="1"/>
      </rPr>
      <t xml:space="preserve">SB17 67 / EU 67 / US 67 (</t>
    </r>
    <r>
      <rPr>
        <sz val="10"/>
        <rFont val="Noto Sans CJK SC"/>
        <family val="2"/>
      </rPr>
      <t xml:space="preserve">총 </t>
    </r>
    <r>
      <rPr>
        <sz val="10"/>
        <rFont val="Arial"/>
        <family val="0"/>
        <charset val="1"/>
      </rPr>
      <t xml:space="preserve">201)</t>
    </r>
  </si>
  <si>
    <t xml:space="preserve">45 mg SC</t>
  </si>
  <si>
    <r>
      <rPr>
        <sz val="10"/>
        <rFont val="Arial"/>
        <family val="0"/>
        <charset val="1"/>
      </rPr>
      <t xml:space="preserve">EMA </t>
    </r>
    <r>
      <rPr>
        <sz val="10"/>
        <rFont val="Noto Sans CJK SC"/>
        <family val="2"/>
      </rPr>
      <t xml:space="preserve">판정은 </t>
    </r>
    <r>
      <rPr>
        <sz val="10"/>
        <rFont val="Arial"/>
        <family val="0"/>
        <charset val="1"/>
      </rPr>
      <t xml:space="preserve">SB17 vs EU </t>
    </r>
    <r>
      <rPr>
        <sz val="10"/>
        <rFont val="Noto Sans CJK SC"/>
        <family val="2"/>
      </rPr>
      <t xml:space="preserve">비교</t>
    </r>
  </si>
  <si>
    <t xml:space="preserve">Pyzchiva EPAR p37–51, 49–50</t>
  </si>
  <si>
    <r>
      <rPr>
        <sz val="10"/>
        <rFont val="Noto Sans CJK SC"/>
        <family val="2"/>
      </rPr>
      <t xml:space="preserve">등록 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는 수집 </t>
    </r>
    <r>
      <rPr>
        <sz val="10"/>
        <rFont val="Arial"/>
        <family val="0"/>
        <charset val="1"/>
      </rPr>
      <t xml:space="preserve">seed(CT.gov)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. EPAR</t>
    </r>
    <r>
      <rPr>
        <sz val="10"/>
        <rFont val="Noto Sans CJK SC"/>
        <family val="2"/>
      </rPr>
      <t xml:space="preserve">에는 </t>
    </r>
    <r>
      <rPr>
        <sz val="10"/>
        <rFont val="Arial"/>
        <family val="0"/>
        <charset val="1"/>
      </rPr>
      <t xml:space="preserve">NCT </t>
    </r>
    <r>
      <rPr>
        <sz val="10"/>
        <rFont val="Noto Sans CJK SC"/>
        <family val="2"/>
      </rPr>
      <t xml:space="preserve">미기재</t>
    </r>
  </si>
  <si>
    <t xml:space="preserve">ST_SB17_3001</t>
  </si>
  <si>
    <t xml:space="preserve">SB17-3001</t>
  </si>
  <si>
    <t xml:space="preserve">NCT04967508</t>
  </si>
  <si>
    <t xml:space="preserve">3</t>
  </si>
  <si>
    <t xml:space="preserve">중등도–중증 판상 건선</t>
  </si>
  <si>
    <r>
      <rPr>
        <sz val="10"/>
        <rFont val="Noto Sans CJK SC"/>
        <family val="2"/>
      </rPr>
      <t xml:space="preserve">무작위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이중맹검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다기관</t>
    </r>
  </si>
  <si>
    <t xml:space="preserve">EFFICACY_EQUIV</t>
  </si>
  <si>
    <t xml:space="preserve">PIVOTAL_EFFICACY</t>
  </si>
  <si>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하위연구 </t>
    </r>
    <r>
      <rPr>
        <sz val="10"/>
        <rFont val="Arial"/>
        <family val="0"/>
        <charset val="1"/>
      </rPr>
      <t xml:space="preserve">142 (71/71)</t>
    </r>
  </si>
  <si>
    <t xml:space="preserve">-</t>
  </si>
  <si>
    <r>
      <rPr>
        <sz val="10"/>
        <rFont val="Noto Sans CJK SC"/>
        <family val="2"/>
      </rPr>
      <t xml:space="preserve">효능 시험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면역원성 확장 시 후보</t>
    </r>
  </si>
  <si>
    <t xml:space="preserve">p37, p52</t>
  </si>
  <si>
    <t xml:space="preserve">20190230</t>
  </si>
  <si>
    <r>
      <rPr>
        <sz val="10"/>
        <rFont val="Arial"/>
        <family val="0"/>
        <charset val="1"/>
      </rPr>
      <t xml:space="preserve">EPAR </t>
    </r>
    <r>
      <rPr>
        <sz val="10"/>
        <rFont val="Noto Sans CJK SC"/>
        <family val="2"/>
      </rPr>
      <t xml:space="preserve">미기재</t>
    </r>
  </si>
  <si>
    <r>
      <rPr>
        <sz val="10"/>
        <rFont val="Noto Sans CJK SC"/>
        <family val="2"/>
      </rPr>
      <t xml:space="preserve">건강인 </t>
    </r>
    <r>
      <rPr>
        <sz val="10"/>
        <rFont val="Arial"/>
        <family val="0"/>
        <charset val="1"/>
      </rPr>
      <t xml:space="preserve">18–45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체중 </t>
    </r>
    <r>
      <rPr>
        <sz val="10"/>
        <rFont val="Arial"/>
        <family val="0"/>
        <charset val="1"/>
      </rPr>
      <t xml:space="preserve">50–90 kg</t>
    </r>
  </si>
  <si>
    <r>
      <rPr>
        <sz val="10"/>
        <rFont val="Noto Sans CJK SC"/>
        <family val="2"/>
      </rPr>
      <t xml:space="preserve">무작위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이중맹검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단회투여</t>
    </r>
    <r>
      <rPr>
        <sz val="10"/>
        <rFont val="Arial"/>
        <family val="0"/>
        <charset val="1"/>
      </rPr>
      <t xml:space="preserve">, 3</t>
    </r>
    <r>
      <rPr>
        <sz val="10"/>
        <rFont val="Noto Sans CJK SC"/>
        <family val="2"/>
      </rPr>
      <t xml:space="preserve">군 병행</t>
    </r>
  </si>
  <si>
    <r>
      <rPr>
        <sz val="10"/>
        <rFont val="Noto Sans CJK SC"/>
        <family val="2"/>
      </rPr>
      <t xml:space="preserve">총 </t>
    </r>
    <r>
      <rPr>
        <sz val="10"/>
        <rFont val="Arial"/>
        <family val="0"/>
        <charset val="1"/>
      </rPr>
      <t xml:space="preserve">238 (</t>
    </r>
    <r>
      <rPr>
        <sz val="10"/>
        <rFont val="Noto Sans CJK SC"/>
        <family val="2"/>
      </rPr>
      <t xml:space="preserve">군별 수 </t>
    </r>
    <r>
      <rPr>
        <sz val="10"/>
        <rFont val="Arial"/>
        <family val="0"/>
        <charset val="1"/>
      </rPr>
      <t xml:space="preserve">EPAR </t>
    </r>
    <r>
      <rPr>
        <sz val="10"/>
        <rFont val="Noto Sans CJK SC"/>
        <family val="2"/>
      </rPr>
      <t xml:space="preserve">미기재</t>
    </r>
    <r>
      <rPr>
        <sz val="10"/>
        <rFont val="Arial"/>
        <family val="0"/>
        <charset val="1"/>
      </rPr>
      <t xml:space="preserve">)</t>
    </r>
  </si>
  <si>
    <t xml:space="preserve">90 mg SC</t>
  </si>
  <si>
    <r>
      <rPr>
        <sz val="10"/>
        <rFont val="Noto Sans CJK SC"/>
        <family val="2"/>
      </rPr>
      <t xml:space="preserve">유일한 </t>
    </r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유사성 시험</t>
    </r>
  </si>
  <si>
    <t xml:space="preserve">Wezenla EPAR p41–48, 93–94</t>
  </si>
  <si>
    <r>
      <rPr>
        <sz val="10"/>
        <rFont val="Noto Sans CJK SC"/>
        <family val="2"/>
      </rPr>
      <t xml:space="preserve">등록 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를 임의로 채우지 않음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웹 검색으로도 미확인</t>
    </r>
    <r>
      <rPr>
        <sz val="10"/>
        <rFont val="Arial"/>
        <family val="0"/>
        <charset val="1"/>
      </rPr>
      <t xml:space="preserve">)</t>
    </r>
  </si>
  <si>
    <t xml:space="preserve">ST_ABP_20190232</t>
  </si>
  <si>
    <t xml:space="preserve">20190232</t>
  </si>
  <si>
    <t xml:space="preserve">NCT04607980</t>
  </si>
  <si>
    <r>
      <rPr>
        <sz val="10"/>
        <rFont val="Noto Sans CJK SC"/>
        <family val="2"/>
      </rPr>
      <t xml:space="preserve">무작위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다기관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이중맹검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활성대조</t>
    </r>
    <r>
      <rPr>
        <sz val="10"/>
        <rFont val="Arial"/>
        <family val="0"/>
        <charset val="1"/>
      </rPr>
      <t xml:space="preserve">. 28</t>
    </r>
    <r>
      <rPr>
        <sz val="10"/>
        <rFont val="Noto Sans CJK SC"/>
        <family val="2"/>
      </rPr>
      <t xml:space="preserve">주 재무작위배정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스위칭</t>
    </r>
    <r>
      <rPr>
        <sz val="10"/>
        <rFont val="Arial"/>
        <family val="0"/>
        <charset val="1"/>
      </rPr>
      <t xml:space="preserve">)</t>
    </r>
  </si>
  <si>
    <t xml:space="preserve">563</t>
  </si>
  <si>
    <r>
      <rPr>
        <sz val="10"/>
        <rFont val="Arial"/>
        <family val="0"/>
        <charset val="1"/>
      </rPr>
      <t xml:space="preserve">45/90 mg SC (</t>
    </r>
    <r>
      <rPr>
        <sz val="10"/>
        <rFont val="Noto Sans CJK SC"/>
        <family val="2"/>
      </rPr>
      <t xml:space="preserve">체중별</t>
    </r>
    <r>
      <rPr>
        <sz val="10"/>
        <rFont val="Arial"/>
        <family val="0"/>
        <charset val="1"/>
      </rPr>
      <t xml:space="preserve">)</t>
    </r>
  </si>
  <si>
    <t xml:space="preserve">효능 시험</t>
  </si>
  <si>
    <t xml:space="preserve">p41, 45–46, 49</t>
  </si>
  <si>
    <t xml:space="preserve">20200417</t>
  </si>
  <si>
    <t xml:space="preserve">NCT04761627; EudraCT 2020-005205-42</t>
  </si>
  <si>
    <t xml:space="preserve">판상 건선</t>
  </si>
  <si>
    <r>
      <rPr>
        <sz val="10"/>
        <rFont val="Noto Sans CJK SC"/>
        <family val="2"/>
      </rPr>
      <t xml:space="preserve">상호교환성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스위칭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시험</t>
    </r>
  </si>
  <si>
    <t xml:space="preserve">SWITCHING</t>
  </si>
  <si>
    <t xml:space="preserve">NOT_IN_EPAR</t>
  </si>
  <si>
    <r>
      <rPr>
        <sz val="10"/>
        <rFont val="Arial"/>
        <family val="0"/>
        <charset val="1"/>
      </rPr>
      <t xml:space="preserve">494 (</t>
    </r>
    <r>
      <rPr>
        <sz val="10"/>
        <rFont val="Noto Sans CJK SC"/>
        <family val="2"/>
      </rPr>
      <t xml:space="preserve">등록부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</si>
  <si>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함정 사례</t>
    </r>
    <r>
      <rPr>
        <sz val="10"/>
        <rFont val="Arial"/>
        <family val="0"/>
        <charset val="1"/>
      </rPr>
      <t xml:space="preserve">: 'ABP 654 PK </t>
    </r>
    <r>
      <rPr>
        <sz val="10"/>
        <rFont val="Noto Sans CJK SC"/>
        <family val="2"/>
      </rPr>
      <t xml:space="preserve">결과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 섞이기 쉬움</t>
    </r>
  </si>
  <si>
    <r>
      <rPr>
        <sz val="10"/>
        <rFont val="Arial"/>
        <family val="0"/>
        <charset val="1"/>
      </rPr>
      <t xml:space="preserve">EPAR </t>
    </r>
    <r>
      <rPr>
        <sz val="10"/>
        <rFont val="Noto Sans CJK SC"/>
        <family val="2"/>
      </rPr>
      <t xml:space="preserve">언급 없음</t>
    </r>
  </si>
  <si>
    <r>
      <rPr>
        <sz val="10"/>
        <rFont val="Arial"/>
        <family val="0"/>
        <charset val="1"/>
      </rPr>
      <t xml:space="preserve">v0.1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'20190232</t>
    </r>
    <r>
      <rPr>
        <sz val="10"/>
        <rFont val="Noto Sans CJK SC"/>
        <family val="2"/>
      </rPr>
      <t xml:space="preserve">와 같은 시험일 수 있음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둔 항목 → 별개 시험으로 확인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등록부 참여자 수 </t>
    </r>
    <r>
      <rPr>
        <sz val="10"/>
        <rFont val="Arial"/>
        <family val="0"/>
        <charset val="1"/>
      </rPr>
      <t xml:space="preserve">494 </t>
    </r>
    <r>
      <rPr>
        <sz val="10"/>
        <rFont val="Noto Sans CJK SC"/>
        <family val="2"/>
      </rPr>
      <t xml:space="preserve">일치</t>
    </r>
    <r>
      <rPr>
        <sz val="10"/>
        <rFont val="Arial"/>
        <family val="0"/>
        <charset val="1"/>
      </rPr>
      <t xml:space="preserve">)</t>
    </r>
  </si>
  <si>
    <t xml:space="preserve">ST_ABP_DEV</t>
  </si>
  <si>
    <t xml:space="preserve">확인 필요</t>
  </si>
  <si>
    <t xml:space="preserve">건강인</t>
  </si>
  <si>
    <r>
      <rPr>
        <sz val="10"/>
        <rFont val="Arial"/>
        <family val="0"/>
        <charset val="1"/>
      </rPr>
      <t xml:space="preserve">PFS vs </t>
    </r>
    <r>
      <rPr>
        <sz val="10"/>
        <rFont val="Noto Sans CJK SC"/>
        <family val="2"/>
      </rPr>
      <t xml:space="preserve">자동주사기</t>
    </r>
  </si>
  <si>
    <t xml:space="preserve">DEVICE_BRIDGING</t>
  </si>
  <si>
    <r>
      <rPr>
        <sz val="10"/>
        <rFont val="Noto Sans CJK SC"/>
        <family val="2"/>
      </rPr>
      <t xml:space="preserve">기기 비교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바이오시밀러성 근거 아님</t>
    </r>
  </si>
  <si>
    <t xml:space="preserve">PMC12875155</t>
  </si>
  <si>
    <t xml:space="preserve">CT-P43 1.1 (Part 2)</t>
  </si>
  <si>
    <t xml:space="preserve">NCT04428814</t>
  </si>
  <si>
    <t xml:space="preserve">건강인 남성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</si>
  <si>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파트</t>
    </r>
    <r>
      <rPr>
        <sz val="10"/>
        <rFont val="Arial"/>
        <family val="0"/>
        <charset val="1"/>
      </rPr>
      <t xml:space="preserve">; Part 2 = </t>
    </r>
    <r>
      <rPr>
        <sz val="10"/>
        <rFont val="Noto Sans CJK SC"/>
        <family val="2"/>
      </rPr>
      <t xml:space="preserve">무작위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이중맹검</t>
    </r>
    <r>
      <rPr>
        <sz val="10"/>
        <rFont val="Arial"/>
        <family val="0"/>
        <charset val="1"/>
      </rPr>
      <t xml:space="preserve">, 3</t>
    </r>
    <r>
      <rPr>
        <sz val="10"/>
        <rFont val="Noto Sans CJK SC"/>
        <family val="2"/>
      </rPr>
      <t xml:space="preserve">군 병행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단회투여</t>
    </r>
  </si>
  <si>
    <r>
      <rPr>
        <sz val="10"/>
        <rFont val="Arial"/>
        <family val="0"/>
        <charset val="1"/>
      </rPr>
      <t xml:space="preserve">CT-P43 80 / EU 82 / US 79 (</t>
    </r>
    <r>
      <rPr>
        <sz val="10"/>
        <rFont val="Noto Sans CJK SC"/>
        <family val="2"/>
      </rPr>
      <t xml:space="preserve">총 </t>
    </r>
    <r>
      <rPr>
        <sz val="10"/>
        <rFont val="Arial"/>
        <family val="0"/>
        <charset val="1"/>
      </rPr>
      <t xml:space="preserve">241)</t>
    </r>
  </si>
  <si>
    <t xml:space="preserve">45 mg SC (PFS)</t>
  </si>
  <si>
    <r>
      <rPr>
        <sz val="10"/>
        <rFont val="Arial"/>
        <family val="0"/>
        <charset val="1"/>
      </rPr>
      <t xml:space="preserve">AUC </t>
    </r>
    <r>
      <rPr>
        <sz val="10"/>
        <rFont val="Noto Sans CJK SC"/>
        <family val="2"/>
      </rPr>
      <t xml:space="preserve">동등성 미충족 시험 — 실패 사례로서 평가 가치 높음</t>
    </r>
  </si>
  <si>
    <t xml:space="preserve">Steqeyma EPAR p29–39, 110–111</t>
  </si>
  <si>
    <r>
      <rPr>
        <sz val="10"/>
        <rFont val="Arial"/>
        <family val="0"/>
        <charset val="1"/>
      </rPr>
      <t xml:space="preserve">Part 1(30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, CT-P43 14 / EU 16)</t>
    </r>
    <r>
      <rPr>
        <sz val="10"/>
        <rFont val="Noto Sans CJK SC"/>
        <family val="2"/>
      </rPr>
      <t xml:space="preserve">은 안전성 파트로 평가 제외</t>
    </r>
  </si>
  <si>
    <t xml:space="preserve">CT-P43 1.2</t>
  </si>
  <si>
    <t xml:space="preserve">건강한 일본인 남성</t>
  </si>
  <si>
    <t xml:space="preserve">REPEAT_PK</t>
  </si>
  <si>
    <r>
      <rPr>
        <sz val="10"/>
        <rFont val="Arial"/>
        <family val="0"/>
        <charset val="1"/>
      </rPr>
      <t xml:space="preserve">CT-P43 114 / EU 110 / US 107 (</t>
    </r>
    <r>
      <rPr>
        <sz val="10"/>
        <rFont val="Noto Sans CJK SC"/>
        <family val="2"/>
      </rPr>
      <t xml:space="preserve">총 </t>
    </r>
    <r>
      <rPr>
        <sz val="10"/>
        <rFont val="Arial"/>
        <family val="0"/>
        <charset val="1"/>
      </rPr>
      <t xml:space="preserve">331)</t>
    </r>
  </si>
  <si>
    <r>
      <rPr>
        <sz val="10"/>
        <rFont val="Arial"/>
        <family val="0"/>
        <charset val="1"/>
      </rPr>
      <t xml:space="preserve">1.1 Part 2 </t>
    </r>
    <r>
      <rPr>
        <sz val="10"/>
        <rFont val="Noto Sans CJK SC"/>
        <family val="2"/>
      </rPr>
      <t xml:space="preserve">실패 후 단백질 함량을 맞춘 배치로 재수행</t>
    </r>
  </si>
  <si>
    <t xml:space="preserve">p29–30, 39–46, 111–112</t>
  </si>
  <si>
    <r>
      <rPr>
        <sz val="10"/>
        <rFont val="Noto Sans CJK SC"/>
        <family val="2"/>
      </rPr>
      <t xml:space="preserve">등록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미확인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일본 등록부일 가능성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</si>
  <si>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1.1 Part 2 + 1.2 </t>
    </r>
    <r>
      <rPr>
        <sz val="10"/>
        <rFont val="Noto Sans CJK SC"/>
        <family val="2"/>
      </rPr>
      <t xml:space="preserve">통합</t>
    </r>
  </si>
  <si>
    <t xml:space="preserve">사후 통합 분석</t>
  </si>
  <si>
    <t xml:space="preserve">OTHER</t>
  </si>
  <si>
    <t xml:space="preserve">POSTHOC_ANALYSIS</t>
  </si>
  <si>
    <r>
      <rPr>
        <sz val="10"/>
        <rFont val="Arial"/>
        <family val="0"/>
        <charset val="1"/>
      </rPr>
      <t xml:space="preserve">EXTRA </t>
    </r>
    <r>
      <rPr>
        <sz val="10"/>
        <rFont val="Noto Sans CJK SC"/>
        <family val="2"/>
      </rPr>
      <t xml:space="preserve">행만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점추정치 없는 부분 보고 사례</t>
    </r>
    <r>
      <rPr>
        <sz val="10"/>
        <rFont val="Arial"/>
        <family val="0"/>
        <charset val="1"/>
      </rPr>
      <t xml:space="preserve">)</t>
    </r>
  </si>
  <si>
    <t xml:space="preserve">p51, 54–55</t>
  </si>
  <si>
    <t xml:space="preserve">ST_CTP43_3_1</t>
  </si>
  <si>
    <t xml:space="preserve">CT-P43 3.1</t>
  </si>
  <si>
    <t xml:space="preserve">NCT04673786</t>
  </si>
  <si>
    <r>
      <rPr>
        <sz val="10"/>
        <rFont val="Noto Sans CJK SC"/>
        <family val="2"/>
      </rPr>
      <t xml:space="preserve">무작위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이중맹검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활성대조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병행</t>
    </r>
  </si>
  <si>
    <r>
      <rPr>
        <sz val="10"/>
        <rFont val="Arial"/>
        <family val="0"/>
        <charset val="1"/>
      </rPr>
      <t xml:space="preserve">CT-P43 256 / EU 253 (</t>
    </r>
    <r>
      <rPr>
        <sz val="10"/>
        <rFont val="Noto Sans CJK SC"/>
        <family val="2"/>
      </rPr>
      <t xml:space="preserve">총 </t>
    </r>
    <r>
      <rPr>
        <sz val="10"/>
        <rFont val="Arial"/>
        <family val="0"/>
        <charset val="1"/>
      </rPr>
      <t xml:space="preserve">509)</t>
    </r>
  </si>
  <si>
    <t xml:space="preserve">p30</t>
  </si>
  <si>
    <t xml:space="preserve">ST_CTP43_DEV</t>
  </si>
  <si>
    <t xml:space="preserve">NCT06951828</t>
  </si>
  <si>
    <r>
      <rPr>
        <sz val="10"/>
        <rFont val="Noto Sans CJK SC"/>
        <family val="2"/>
      </rPr>
      <t xml:space="preserve">자동주사기 </t>
    </r>
    <r>
      <rPr>
        <sz val="10"/>
        <rFont val="Arial"/>
        <family val="0"/>
        <charset val="1"/>
      </rPr>
      <t xml:space="preserve">vs PFS</t>
    </r>
  </si>
  <si>
    <t xml:space="preserve">기기 비교</t>
  </si>
  <si>
    <t xml:space="preserve">id</t>
  </si>
  <si>
    <t xml:space="preserve">발견 위치</t>
  </si>
  <si>
    <r>
      <rPr>
        <b val="true"/>
        <sz val="10"/>
        <color rgb="FFFFFFFF"/>
        <rFont val="Arial"/>
        <family val="0"/>
        <charset val="1"/>
      </rPr>
      <t xml:space="preserve">v0.1 </t>
    </r>
    <r>
      <rPr>
        <b val="true"/>
        <sz val="10"/>
        <color rgb="FFFFFFFF"/>
        <rFont val="Noto Sans CJK SC"/>
        <family val="2"/>
      </rPr>
      <t xml:space="preserve">규칙으로 라벨링할 때 생긴 문제</t>
    </r>
  </si>
  <si>
    <r>
      <rPr>
        <b val="true"/>
        <sz val="10"/>
        <color rgb="FFFFFFFF"/>
        <rFont val="Arial"/>
        <family val="0"/>
        <charset val="1"/>
      </rPr>
      <t xml:space="preserve">v0.2 </t>
    </r>
    <r>
      <rPr>
        <b val="true"/>
        <sz val="10"/>
        <color rgb="FFFFFFFF"/>
        <rFont val="Noto Sans CJK SC"/>
        <family val="2"/>
      </rPr>
      <t xml:space="preserve">변경</t>
    </r>
  </si>
  <si>
    <t xml:space="preserve">영향 필드</t>
  </si>
  <si>
    <t xml:space="preserve">A1</t>
  </si>
  <si>
    <r>
      <rPr>
        <sz val="10"/>
        <rFont val="Arial"/>
        <family val="0"/>
        <charset val="1"/>
      </rPr>
      <t xml:space="preserve">SB17 p43(1</t>
    </r>
    <r>
      <rPr>
        <sz val="10"/>
        <rFont val="Noto Sans CJK SC"/>
        <family val="2"/>
      </rPr>
      <t xml:space="preserve">차 </t>
    </r>
    <r>
      <rPr>
        <sz val="10"/>
        <rFont val="Arial"/>
        <family val="0"/>
        <charset val="1"/>
      </rPr>
      <t xml:space="preserve">ANOVA) vs p46·48(</t>
    </r>
    <r>
      <rPr>
        <sz val="10"/>
        <rFont val="Noto Sans CJK SC"/>
        <family val="2"/>
      </rPr>
      <t xml:space="preserve">사후 </t>
    </r>
    <r>
      <rPr>
        <sz val="10"/>
        <rFont val="Arial"/>
        <family val="0"/>
        <charset val="1"/>
      </rPr>
      <t xml:space="preserve">ANCOVA); CT-P43 p35 vs p37; p51 </t>
    </r>
    <r>
      <rPr>
        <sz val="10"/>
        <rFont val="Noto Sans CJK SC"/>
        <family val="2"/>
      </rPr>
      <t xml:space="preserve">통합 분석</t>
    </r>
  </si>
  <si>
    <r>
      <rPr>
        <sz val="10"/>
        <rFont val="Noto Sans CJK SC"/>
        <family val="2"/>
      </rPr>
      <t xml:space="preserve">같은 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필드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비교쌍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정답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2~4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CT-P43 1.1 AUC </t>
    </r>
    <r>
      <rPr>
        <sz val="10"/>
        <rFont val="Noto Sans CJK SC"/>
        <family val="2"/>
      </rPr>
      <t xml:space="preserve">비율 </t>
    </r>
    <r>
      <rPr>
        <sz val="10"/>
        <rFont val="Arial"/>
        <family val="0"/>
        <charset val="1"/>
      </rPr>
      <t xml:space="preserve">124.36(1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 / 124.59(US </t>
    </r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) / 114.32(</t>
    </r>
    <r>
      <rPr>
        <sz val="10"/>
        <rFont val="Noto Sans CJK SC"/>
        <family val="2"/>
      </rPr>
      <t xml:space="preserve">보정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</si>
  <si>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analysis_id </t>
    </r>
    <r>
      <rPr>
        <sz val="10"/>
        <rFont val="Noto Sans CJK SC"/>
        <family val="2"/>
      </rPr>
      <t xml:space="preserve">키 추가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핵심 격자 </t>
    </r>
    <r>
      <rPr>
        <sz val="10"/>
        <rFont val="Arial"/>
        <family val="0"/>
        <charset val="1"/>
      </rPr>
      <t xml:space="preserve">= PRIMARY, </t>
    </r>
    <r>
      <rPr>
        <sz val="10"/>
        <rFont val="Noto Sans CJK SC"/>
        <family val="2"/>
      </rPr>
      <t xml:space="preserve">나머지는 </t>
    </r>
    <r>
      <rPr>
        <sz val="10"/>
        <rFont val="Arial"/>
        <family val="0"/>
        <charset val="1"/>
      </rPr>
      <t xml:space="preserve">EXTRA </t>
    </r>
    <r>
      <rPr>
        <sz val="10"/>
        <rFont val="Noto Sans CJK SC"/>
        <family val="2"/>
      </rPr>
      <t xml:space="preserve">행</t>
    </r>
  </si>
  <si>
    <t xml:space="preserve">pk_gmr_*</t>
  </si>
  <si>
    <t xml:space="preserve">A2</t>
  </si>
  <si>
    <t xml:space="preserve">ABP p44 Table 5 'US vs EU' / SB17 p46 'EU/US' / CT-P43 'EU-Stelara/US-Stelara'</t>
  </si>
  <si>
    <r>
      <rPr>
        <sz val="10"/>
        <rFont val="Noto Sans CJK SC"/>
        <family val="2"/>
      </rPr>
      <t xml:space="preserve">대조약끼리 비교의 방향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분모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제품마다 다름</t>
    </r>
    <r>
      <rPr>
        <sz val="10"/>
        <rFont val="Arial"/>
        <family val="0"/>
        <charset val="1"/>
      </rPr>
      <t xml:space="preserve">. v0.1 enum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EU_vs_US </t>
    </r>
    <r>
      <rPr>
        <sz val="10"/>
        <rFont val="Noto Sans CJK SC"/>
        <family val="2"/>
      </rPr>
      <t xml:space="preserve">하나뿐</t>
    </r>
  </si>
  <si>
    <r>
      <rPr>
        <sz val="10"/>
        <rFont val="Arial"/>
        <family val="0"/>
        <charset val="1"/>
      </rPr>
      <t xml:space="preserve">comparison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US_RP_vs_EU_RP 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원문 방향 그대로 기록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역수 변환 금지</t>
    </r>
  </si>
  <si>
    <t xml:space="preserve">A3</t>
  </si>
  <si>
    <t xml:space="preserve">SB17 p45</t>
  </si>
  <si>
    <r>
      <rPr>
        <sz val="10"/>
        <rFont val="Arial"/>
        <family val="0"/>
        <charset val="1"/>
      </rPr>
      <t xml:space="preserve">US </t>
    </r>
    <r>
      <rPr>
        <sz val="10"/>
        <rFont val="Noto Sans CJK SC"/>
        <family val="2"/>
      </rPr>
      <t xml:space="preserve">관련 비교는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기준 범위 안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이라는 문장만 있고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분석 수치 없음</t>
    </r>
  </si>
  <si>
    <r>
      <rPr>
        <sz val="10"/>
        <rFont val="Arial"/>
        <family val="0"/>
        <charset val="1"/>
      </rPr>
      <t xml:space="preserve">GMR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NOT_FOUND(+</t>
    </r>
    <r>
      <rPr>
        <sz val="10"/>
        <rFont val="Noto Sans CJK SC"/>
        <family val="2"/>
      </rPr>
      <t xml:space="preserve">검색 범위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결론은 </t>
    </r>
    <r>
      <rPr>
        <sz val="10"/>
        <rFont val="Arial"/>
        <family val="0"/>
        <charset val="1"/>
      </rPr>
      <t xml:space="preserve">pk_equiv_concluded=Y</t>
    </r>
    <r>
      <rPr>
        <sz val="10"/>
        <rFont val="Noto Sans CJK SC"/>
        <family val="2"/>
      </rPr>
      <t xml:space="preserve">로 분리</t>
    </r>
    <r>
      <rPr>
        <sz val="10"/>
        <rFont val="Arial"/>
        <family val="0"/>
        <charset val="1"/>
      </rPr>
      <t xml:space="preserve">. NOT_FOUND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searched_scope </t>
    </r>
    <r>
      <rPr>
        <sz val="10"/>
        <rFont val="Noto Sans CJK SC"/>
        <family val="2"/>
      </rPr>
      <t xml:space="preserve">필수</t>
    </r>
  </si>
  <si>
    <t xml:space="preserve">pk_gmr_*, pk_equiv_concluded</t>
  </si>
  <si>
    <t xml:space="preserve">A4</t>
  </si>
  <si>
    <r>
      <rPr>
        <sz val="10"/>
        <rFont val="Arial"/>
        <family val="0"/>
        <charset val="1"/>
      </rPr>
      <t xml:space="preserve">SB17 p43 Table 4 (N=67, n=62/64); ABP Table 5 [n]</t>
    </r>
    <r>
      <rPr>
        <sz val="10"/>
        <rFont val="Noto Sans CJK SC"/>
        <family val="2"/>
      </rPr>
      <t xml:space="preserve">이 평가변수마다 다름</t>
    </r>
  </si>
  <si>
    <r>
      <rPr>
        <sz val="10"/>
        <rFont val="Arial"/>
        <family val="0"/>
        <charset val="1"/>
      </rPr>
      <t xml:space="preserve">n_pk_set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N(</t>
    </r>
    <r>
      <rPr>
        <sz val="10"/>
        <rFont val="Noto Sans CJK SC"/>
        <family val="2"/>
      </rPr>
      <t xml:space="preserve">집단 크기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n(</t>
    </r>
    <r>
      <rPr>
        <sz val="10"/>
        <rFont val="Noto Sans CJK SC"/>
        <family val="2"/>
      </rPr>
      <t xml:space="preserve">실제 분석 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중 무엇을 적을지 모호</t>
    </r>
  </si>
  <si>
    <r>
      <rPr>
        <sz val="10"/>
        <rFont val="Arial"/>
        <family val="0"/>
        <charset val="1"/>
      </rPr>
      <t xml:space="preserve">n_pk_set = </t>
    </r>
    <r>
      <rPr>
        <sz val="10"/>
        <rFont val="Noto Sans CJK SC"/>
        <family val="2"/>
      </rPr>
      <t xml:space="preserve">집단 </t>
    </r>
    <r>
      <rPr>
        <sz val="10"/>
        <rFont val="Arial"/>
        <family val="0"/>
        <charset val="1"/>
      </rPr>
      <t xml:space="preserve">N. </t>
    </r>
    <r>
      <rPr>
        <sz val="10"/>
        <rFont val="Noto Sans CJK SC"/>
        <family val="2"/>
      </rPr>
      <t xml:space="preserve">평가변수별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GMR </t>
    </r>
    <r>
      <rPr>
        <sz val="10"/>
        <rFont val="Noto Sans CJK SC"/>
        <family val="2"/>
      </rPr>
      <t xml:space="preserve">행의 </t>
    </r>
    <r>
      <rPr>
        <sz val="10"/>
        <rFont val="Arial"/>
        <family val="0"/>
        <charset val="1"/>
      </rPr>
      <t xml:space="preserve">n_test/n_ref </t>
    </r>
    <r>
      <rPr>
        <sz val="10"/>
        <rFont val="Noto Sans CJK SC"/>
        <family val="2"/>
      </rPr>
      <t xml:space="preserve">열로 이동</t>
    </r>
  </si>
  <si>
    <t xml:space="preserve">n_pk_set, n_test, n_ref</t>
  </si>
  <si>
    <t xml:space="preserve">A5</t>
  </si>
  <si>
    <t xml:space="preserve">SB17 Table 3·7·9, ABP Table 5·42, CT-P43 Table 7·8·14</t>
  </si>
  <si>
    <r>
      <rPr>
        <sz val="10"/>
        <rFont val="Noto Sans CJK SC"/>
        <family val="2"/>
      </rPr>
      <t xml:space="preserve">핵심 수치가 이미지 표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인용 페이지 텍스트에 값이 있는지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자동 검사가 불가능</t>
    </r>
  </si>
  <si>
    <r>
      <rPr>
        <sz val="10"/>
        <rFont val="Arial"/>
        <family val="0"/>
        <charset val="1"/>
      </rPr>
      <t xml:space="preserve">modality </t>
    </r>
    <r>
      <rPr>
        <sz val="10"/>
        <rFont val="Noto Sans CJK SC"/>
        <family val="2"/>
      </rPr>
      <t xml:space="preserve">열 추가</t>
    </r>
    <r>
      <rPr>
        <sz val="10"/>
        <rFont val="Arial"/>
        <family val="0"/>
        <charset val="1"/>
      </rPr>
      <t xml:space="preserve">(TEXT/IMAGE). TEXT</t>
    </r>
    <r>
      <rPr>
        <sz val="10"/>
        <rFont val="Noto Sans CJK SC"/>
        <family val="2"/>
      </rPr>
      <t xml:space="preserve">만 자동 대조</t>
    </r>
    <r>
      <rPr>
        <sz val="10"/>
        <rFont val="Arial"/>
        <family val="0"/>
        <charset val="1"/>
      </rPr>
      <t xml:space="preserve">, IMAGE</t>
    </r>
    <r>
      <rPr>
        <sz val="10"/>
        <rFont val="Noto Sans CJK SC"/>
        <family val="2"/>
      </rPr>
      <t xml:space="preserve">는 시각 확인</t>
    </r>
    <r>
      <rPr>
        <sz val="10"/>
        <rFont val="Arial"/>
        <family val="0"/>
        <charset val="1"/>
      </rPr>
      <t xml:space="preserve">·OCR </t>
    </r>
    <r>
      <rPr>
        <sz val="10"/>
        <rFont val="Noto Sans CJK SC"/>
        <family val="2"/>
      </rPr>
      <t xml:space="preserve">대상으로 분리</t>
    </r>
  </si>
  <si>
    <t xml:space="preserve">modality, auto_text_check</t>
  </si>
  <si>
    <t xml:space="preserve">A6</t>
  </si>
  <si>
    <t xml:space="preserve">SB17 Table 4 = Table 5; CT-P43 Table 12 = Table 13</t>
  </si>
  <si>
    <r>
      <rPr>
        <sz val="10"/>
        <rFont val="Noto Sans CJK SC"/>
        <family val="2"/>
      </rPr>
      <t xml:space="preserve">같은 값이 두 페이지에 있어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정답 페이지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둘</t>
    </r>
  </si>
  <si>
    <r>
      <rPr>
        <sz val="10"/>
        <rFont val="Arial"/>
        <family val="0"/>
        <charset val="1"/>
      </rPr>
      <t xml:space="preserve">pdf_page = </t>
    </r>
    <r>
      <rPr>
        <sz val="10"/>
        <rFont val="Noto Sans CJK SC"/>
        <family val="2"/>
      </rPr>
      <t xml:space="preserve">텍스트 층이 있는 첫 위치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</t>
    </r>
    <r>
      <rPr>
        <sz val="10"/>
        <rFont val="Arial"/>
        <family val="0"/>
        <charset val="1"/>
      </rPr>
      <t xml:space="preserve">alt_locations. </t>
    </r>
    <r>
      <rPr>
        <sz val="10"/>
        <rFont val="Noto Sans CJK SC"/>
        <family val="2"/>
      </rPr>
      <t xml:space="preserve">채점 시 둘 다 인정</t>
    </r>
  </si>
  <si>
    <t xml:space="preserve">pdf_page, alt_locations</t>
  </si>
  <si>
    <t xml:space="preserve">A7</t>
  </si>
  <si>
    <t xml:space="preserve">SB17 p50 'post-dose positive' / ABP p94 'developing' vs 'anytime' / CT-P43 p111 'at least 1 post-treatment'</t>
  </si>
  <si>
    <r>
      <rPr>
        <sz val="10"/>
        <rFont val="Arial"/>
        <family val="0"/>
        <charset val="1"/>
      </rPr>
      <t xml:space="preserve">ADA </t>
    </r>
    <r>
      <rPr>
        <sz val="10"/>
        <rFont val="Noto Sans CJK SC"/>
        <family val="2"/>
      </rPr>
      <t xml:space="preserve">양성률 정의가 제품마다 달라 같은 칸에 넣으면 비교가 왜곡됨</t>
    </r>
  </si>
  <si>
    <r>
      <rPr>
        <sz val="10"/>
        <rFont val="Arial"/>
        <family val="0"/>
        <charset val="1"/>
      </rPr>
      <t xml:space="preserve">analysis_id</t>
    </r>
    <r>
      <rPr>
        <sz val="10"/>
        <rFont val="Noto Sans CJK SC"/>
        <family val="2"/>
      </rPr>
      <t xml:space="preserve">로 정의 구분 </t>
    </r>
    <r>
      <rPr>
        <sz val="10"/>
        <rFont val="Arial"/>
        <family val="0"/>
        <charset val="1"/>
      </rPr>
      <t xml:space="preserve">+ denominator 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핵심 격자에는 각 원문의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투여 후 전체 기간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지표</t>
    </r>
  </si>
  <si>
    <t xml:space="preserve">ada_incidence, nab_incidence</t>
  </si>
  <si>
    <t xml:space="preserve">A8</t>
  </si>
  <si>
    <t xml:space="preserve">SB17 p49–50</t>
  </si>
  <si>
    <r>
      <rPr>
        <sz val="10"/>
        <rFont val="Arial"/>
        <family val="0"/>
        <charset val="1"/>
      </rPr>
      <t xml:space="preserve">NAb</t>
    </r>
    <r>
      <rPr>
        <sz val="10"/>
        <rFont val="Noto Sans CJK SC"/>
        <family val="2"/>
      </rPr>
      <t xml:space="preserve">가 시점별</t>
    </r>
    <r>
      <rPr>
        <sz val="10"/>
        <rFont val="Arial"/>
        <family val="0"/>
        <charset val="1"/>
      </rPr>
      <t xml:space="preserve">·ADA </t>
    </r>
    <r>
      <rPr>
        <sz val="10"/>
        <rFont val="Noto Sans CJK SC"/>
        <family val="2"/>
      </rPr>
      <t xml:space="preserve">양성자 분모로만 보고됨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 기간 값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</si>
  <si>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핵심 격자 </t>
    </r>
    <r>
      <rPr>
        <sz val="10"/>
        <rFont val="Arial"/>
        <family val="0"/>
        <charset val="1"/>
      </rPr>
      <t xml:space="preserve">NAb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NOT_FOUND, Day 99 </t>
    </r>
    <r>
      <rPr>
        <sz val="10"/>
        <rFont val="Noto Sans CJK SC"/>
        <family val="2"/>
      </rPr>
      <t xml:space="preserve">값은 </t>
    </r>
    <r>
      <rPr>
        <sz val="10"/>
        <rFont val="Arial"/>
        <family val="0"/>
        <charset val="1"/>
      </rPr>
      <t xml:space="preserve">EXTRA(NAB_AT_TIMEPOINT, </t>
    </r>
    <r>
      <rPr>
        <sz val="10"/>
        <rFont val="Noto Sans CJK SC"/>
        <family val="2"/>
      </rPr>
      <t xml:space="preserve">분모</t>
    </r>
    <r>
      <rPr>
        <sz val="10"/>
        <rFont val="Arial"/>
        <family val="0"/>
        <charset val="1"/>
      </rPr>
      <t xml:space="preserve">=ADA_POSITIVE)</t>
    </r>
  </si>
  <si>
    <t xml:space="preserve">A9</t>
  </si>
  <si>
    <t xml:space="preserve">CT-P43 p29–44</t>
  </si>
  <si>
    <r>
      <rPr>
        <sz val="10"/>
        <rFont val="Noto Sans CJK SC"/>
        <family val="2"/>
      </rPr>
      <t xml:space="preserve">한 제품에 </t>
    </r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유사성 시험이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(1.1 Part 2 </t>
    </r>
    <r>
      <rPr>
        <sz val="10"/>
        <rFont val="Noto Sans CJK SC"/>
        <family val="2"/>
      </rPr>
      <t xml:space="preserve">실패</t>
    </r>
    <r>
      <rPr>
        <sz val="10"/>
        <rFont val="Arial"/>
        <family val="0"/>
        <charset val="1"/>
      </rPr>
      <t xml:space="preserve">, 1.2 </t>
    </r>
    <r>
      <rPr>
        <sz val="10"/>
        <rFont val="Noto Sans CJK SC"/>
        <family val="2"/>
      </rPr>
      <t xml:space="preserve">성공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통합 분석</t>
    </r>
  </si>
  <si>
    <r>
      <rPr>
        <sz val="10"/>
        <rFont val="Arial"/>
        <family val="0"/>
        <charset val="1"/>
      </rPr>
      <t xml:space="preserve">studies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role_in_dossier 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두 시험 모두 평가 대상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통합 분석은 별도 </t>
    </r>
    <r>
      <rPr>
        <sz val="10"/>
        <rFont val="Arial"/>
        <family val="0"/>
        <charset val="1"/>
      </rPr>
      <t xml:space="preserve">study_key</t>
    </r>
  </si>
  <si>
    <t xml:space="preserve">A10</t>
  </si>
  <si>
    <t xml:space="preserve">ABP p41</t>
  </si>
  <si>
    <r>
      <rPr>
        <sz val="10"/>
        <rFont val="Noto Sans CJK SC"/>
        <family val="2"/>
      </rPr>
      <t xml:space="preserve">군별 무작위배정 수가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238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</si>
  <si>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군별은 </t>
    </r>
    <r>
      <rPr>
        <sz val="10"/>
        <rFont val="Arial"/>
        <family val="0"/>
        <charset val="1"/>
      </rPr>
      <t xml:space="preserve">NOT_FOUND, </t>
    </r>
    <r>
      <rPr>
        <sz val="10"/>
        <rFont val="Noto Sans CJK SC"/>
        <family val="2"/>
      </rPr>
      <t xml:space="preserve">전체는 </t>
    </r>
    <r>
      <rPr>
        <sz val="10"/>
        <rFont val="Arial"/>
        <family val="0"/>
        <charset val="1"/>
      </rPr>
      <t xml:space="preserve">arm=ALL EXTRA </t>
    </r>
    <r>
      <rPr>
        <sz val="10"/>
        <rFont val="Noto Sans CJK SC"/>
        <family val="2"/>
      </rPr>
      <t xml:space="preserve">행</t>
    </r>
  </si>
  <si>
    <t xml:space="preserve">A11</t>
  </si>
  <si>
    <t xml:space="preserve">CT-P43 p35</t>
  </si>
  <si>
    <r>
      <rPr>
        <sz val="10"/>
        <rFont val="Arial"/>
        <family val="0"/>
        <charset val="1"/>
      </rPr>
      <t xml:space="preserve">EU/US </t>
    </r>
    <r>
      <rPr>
        <sz val="10"/>
        <rFont val="Noto Sans CJK SC"/>
        <family val="2"/>
      </rPr>
      <t xml:space="preserve">동등성 결론이 명시 문장 없이 함의만 됨</t>
    </r>
  </si>
  <si>
    <r>
      <rPr>
        <sz val="10"/>
        <rFont val="Arial"/>
        <family val="0"/>
        <charset val="1"/>
      </rPr>
      <t xml:space="preserve">pk_equiv_concluded</t>
    </r>
    <r>
      <rPr>
        <sz val="10"/>
        <rFont val="Noto Sans CJK SC"/>
        <family val="2"/>
      </rPr>
      <t xml:space="preserve">는 명시 문장 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함의는 </t>
    </r>
    <r>
      <rPr>
        <sz val="10"/>
        <rFont val="Arial"/>
        <family val="0"/>
        <charset val="1"/>
      </rPr>
      <t xml:space="preserve">PENDING → </t>
    </r>
    <r>
      <rPr>
        <sz val="10"/>
        <rFont val="Noto Sans CJK SC"/>
        <family val="2"/>
      </rPr>
      <t xml:space="preserve">사람 판정</t>
    </r>
  </si>
  <si>
    <t xml:space="preserve">A12</t>
  </si>
  <si>
    <t xml:space="preserve">ABP p42 (90 mg) vs SB17·CT-P43 (45 mg)</t>
  </si>
  <si>
    <r>
      <rPr>
        <sz val="10"/>
        <rFont val="Noto Sans CJK SC"/>
        <family val="2"/>
      </rPr>
      <t xml:space="preserve">제품 간 </t>
    </r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비교 시 용량 차이를 놓치기 쉬움</t>
    </r>
  </si>
  <si>
    <r>
      <rPr>
        <sz val="10"/>
        <rFont val="Arial"/>
        <family val="0"/>
        <charset val="1"/>
      </rPr>
      <t xml:space="preserve">dose </t>
    </r>
    <r>
      <rPr>
        <sz val="10"/>
        <rFont val="Noto Sans CJK SC"/>
        <family val="2"/>
      </rPr>
      <t xml:space="preserve">규칙에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비교 시 함께 제시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추가</t>
    </r>
  </si>
  <si>
    <t xml:space="preserve">A13</t>
  </si>
  <si>
    <t xml:space="preserve">CT-P43 p51</t>
  </si>
  <si>
    <t xml:space="preserve">통합 분석은 신뢰구간만 있고 점추정치 없음</t>
  </si>
  <si>
    <r>
      <rPr>
        <sz val="10"/>
        <rFont val="Arial"/>
        <family val="0"/>
        <charset val="1"/>
      </rPr>
      <t xml:space="preserve">value_num </t>
    </r>
    <r>
      <rPr>
        <sz val="10"/>
        <rFont val="Noto Sans CJK SC"/>
        <family val="2"/>
      </rPr>
      <t xml:space="preserve">비우고 </t>
    </r>
    <r>
      <rPr>
        <sz val="10"/>
        <rFont val="Arial"/>
        <family val="0"/>
        <charset val="1"/>
      </rPr>
      <t xml:space="preserve">CI</t>
    </r>
    <r>
      <rPr>
        <sz val="10"/>
        <rFont val="Noto Sans CJK SC"/>
        <family val="2"/>
      </rPr>
      <t xml:space="preserve">만 기록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부분 보고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상태는 </t>
    </r>
    <r>
      <rPr>
        <sz val="10"/>
        <rFont val="Arial"/>
        <family val="0"/>
        <charset val="1"/>
      </rPr>
      <t xml:space="preserve">REPORTED + </t>
    </r>
    <r>
      <rPr>
        <sz val="10"/>
        <rFont val="Noto Sans CJK SC"/>
        <family val="2"/>
      </rPr>
      <t xml:space="preserve">메모</t>
    </r>
  </si>
  <si>
    <t xml:space="preserve">label_ko</t>
  </si>
  <si>
    <t xml:space="preserve">definition</t>
  </si>
  <si>
    <t xml:space="preserve">value_type</t>
  </si>
  <si>
    <t xml:space="preserve">unit_norm</t>
  </si>
  <si>
    <t xml:space="preserve">required_keys</t>
  </si>
  <si>
    <t xml:space="preserve">labeling_rule</t>
  </si>
  <si>
    <t xml:space="preserve">STUDY</t>
  </si>
  <si>
    <t xml:space="preserve">시험 단계</t>
  </si>
  <si>
    <t xml:space="preserve">원문 임상 단계</t>
  </si>
  <si>
    <t xml:space="preserve">ENUM</t>
  </si>
  <si>
    <r>
      <rPr>
        <sz val="10"/>
        <rFont val="Noto Sans CJK SC"/>
        <family val="2"/>
      </rPr>
      <t xml:space="preserve">원문 표기 그대로 </t>
    </r>
    <r>
      <rPr>
        <sz val="10"/>
        <rFont val="Arial"/>
        <family val="0"/>
        <charset val="1"/>
      </rPr>
      <t xml:space="preserve">value_text, </t>
    </r>
    <r>
      <rPr>
        <sz val="10"/>
        <rFont val="Noto Sans CJK SC"/>
        <family val="2"/>
      </rPr>
      <t xml:space="preserve">숫자는 </t>
    </r>
    <r>
      <rPr>
        <sz val="10"/>
        <rFont val="Arial"/>
        <family val="0"/>
        <charset val="1"/>
      </rPr>
      <t xml:space="preserve">value_num.</t>
    </r>
  </si>
  <si>
    <t xml:space="preserve">대상 집단</t>
  </si>
  <si>
    <r>
      <rPr>
        <sz val="10"/>
        <rFont val="Noto Sans CJK SC"/>
        <family val="2"/>
      </rPr>
      <t xml:space="preserve">건강인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성별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체중 조건</t>
    </r>
  </si>
  <si>
    <r>
      <rPr>
        <sz val="10"/>
        <rFont val="Noto Sans CJK SC"/>
        <family val="2"/>
      </rPr>
      <t xml:space="preserve">본문과 개요표가 다르면 더 구체적인 쪽을 쓰고 </t>
    </r>
    <r>
      <rPr>
        <sz val="10"/>
        <rFont val="Arial"/>
        <family val="0"/>
        <charset val="1"/>
      </rPr>
      <t xml:space="preserve">modality </t>
    </r>
    <r>
      <rPr>
        <sz val="10"/>
        <rFont val="Noto Sans CJK SC"/>
        <family val="2"/>
      </rPr>
      <t xml:space="preserve">표시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</si>
  <si>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ABP</t>
    </r>
    <r>
      <rPr>
        <sz val="10"/>
        <rFont val="Noto Sans CJK SC"/>
        <family val="2"/>
      </rPr>
      <t xml:space="preserve">는 연령 조건이 이미지 표에만 있음</t>
    </r>
  </si>
  <si>
    <t xml:space="preserve">설계</t>
  </si>
  <si>
    <r>
      <rPr>
        <sz val="10"/>
        <rFont val="Noto Sans CJK SC"/>
        <family val="2"/>
      </rPr>
      <t xml:space="preserve">무작위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맹검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군 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투여 횟수</t>
    </r>
  </si>
  <si>
    <r>
      <rPr>
        <sz val="10"/>
        <rFont val="Noto Sans CJK SC"/>
        <family val="2"/>
      </rPr>
      <t xml:space="preserve">원문 설계 문구 기준</t>
    </r>
    <r>
      <rPr>
        <sz val="10"/>
        <rFont val="Arial"/>
        <family val="0"/>
        <charset val="1"/>
      </rPr>
      <t xml:space="preserve">.</t>
    </r>
  </si>
  <si>
    <t xml:space="preserve">투여량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</si>
  <si>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투여량</t>
    </r>
  </si>
  <si>
    <t xml:space="preserve">NUMBER</t>
  </si>
  <si>
    <t xml:space="preserve">원문 단위</t>
  </si>
  <si>
    <r>
      <rPr>
        <sz val="10"/>
        <rFont val="Noto Sans CJK SC"/>
        <family val="2"/>
      </rPr>
      <t xml:space="preserve">단위 변환 금지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제품 간 </t>
    </r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비교 시 반드시 함께 제시</t>
    </r>
    <r>
      <rPr>
        <sz val="10"/>
        <rFont val="Arial"/>
        <family val="0"/>
        <charset val="1"/>
      </rPr>
      <t xml:space="preserve">(ABP 90 mg vs </t>
    </r>
    <r>
      <rPr>
        <sz val="10"/>
        <rFont val="Noto Sans CJK SC"/>
        <family val="2"/>
      </rPr>
      <t xml:space="preserve">다른 제품 </t>
    </r>
    <r>
      <rPr>
        <sz val="10"/>
        <rFont val="Arial"/>
        <family val="0"/>
        <charset val="1"/>
      </rPr>
      <t xml:space="preserve">45 mg).</t>
    </r>
  </si>
  <si>
    <t xml:space="preserve">용량 차이 주의 문구 추가</t>
  </si>
  <si>
    <t xml:space="preserve">투여 경로</t>
  </si>
  <si>
    <r>
      <rPr>
        <sz val="10"/>
        <rFont val="Arial"/>
        <family val="0"/>
        <charset val="1"/>
      </rPr>
      <t xml:space="preserve">SC/IV (+</t>
    </r>
    <r>
      <rPr>
        <sz val="10"/>
        <rFont val="Noto Sans CJK SC"/>
        <family val="2"/>
      </rPr>
      <t xml:space="preserve">기기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</si>
  <si>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PFS </t>
    </r>
    <r>
      <rPr>
        <sz val="10"/>
        <rFont val="Noto Sans CJK SC"/>
        <family val="2"/>
      </rPr>
      <t xml:space="preserve">등 기기 정보가 있으면 괄호로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</si>
  <si>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</t>
    </r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평가변수</t>
    </r>
  </si>
  <si>
    <r>
      <rPr>
        <sz val="10"/>
        <rFont val="Noto Sans CJK SC"/>
        <family val="2"/>
      </rPr>
      <t xml:space="preserve">원문이 </t>
    </r>
    <r>
      <rPr>
        <sz val="10"/>
        <rFont val="Arial"/>
        <family val="0"/>
        <charset val="1"/>
      </rPr>
      <t xml:space="preserve">primary</t>
    </r>
    <r>
      <rPr>
        <sz val="10"/>
        <rFont val="Noto Sans CJK SC"/>
        <family val="2"/>
      </rPr>
      <t xml:space="preserve">로 명시한 파라미터</t>
    </r>
  </si>
  <si>
    <r>
      <rPr>
        <sz val="10"/>
        <rFont val="Noto Sans CJK SC"/>
        <family val="2"/>
      </rPr>
      <t xml:space="preserve">세미콜론 구분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표기는 원문대로</t>
    </r>
    <r>
      <rPr>
        <sz val="10"/>
        <rFont val="Arial"/>
        <family val="0"/>
        <charset val="1"/>
      </rPr>
      <t xml:space="preserve">(AUCinf / AUC0-inf).</t>
    </r>
  </si>
  <si>
    <t xml:space="preserve">동등성 기준</t>
  </si>
  <si>
    <r>
      <rPr>
        <sz val="10"/>
        <rFont val="Arial"/>
        <family val="0"/>
        <charset val="1"/>
      </rPr>
      <t xml:space="preserve">90% CI </t>
    </r>
    <r>
      <rPr>
        <sz val="10"/>
        <rFont val="Noto Sans CJK SC"/>
        <family val="2"/>
      </rPr>
      <t xml:space="preserve">허용 범위</t>
    </r>
  </si>
  <si>
    <r>
      <rPr>
        <sz val="10"/>
        <rFont val="Noto Sans CJK SC"/>
        <family val="2"/>
      </rPr>
      <t xml:space="preserve">원문 </t>
    </r>
    <r>
      <rPr>
        <sz val="10"/>
        <rFont val="Arial"/>
        <family val="0"/>
        <charset val="1"/>
      </rPr>
      <t xml:space="preserve">scale</t>
    </r>
  </si>
  <si>
    <r>
      <rPr>
        <sz val="10"/>
        <rFont val="Noto Sans CJK SC"/>
        <family val="2"/>
      </rPr>
      <t xml:space="preserve">원문 표기 그대로</t>
    </r>
    <r>
      <rPr>
        <sz val="10"/>
        <rFont val="Arial"/>
        <family val="0"/>
        <charset val="1"/>
      </rPr>
      <t xml:space="preserve">(0.8 to 1.25 / 80.00% to 125.00%).</t>
    </r>
  </si>
  <si>
    <r>
      <rPr>
        <sz val="10"/>
        <rFont val="Arial"/>
        <family val="0"/>
        <charset val="1"/>
      </rPr>
      <t xml:space="preserve">ADA·NAb </t>
    </r>
    <r>
      <rPr>
        <sz val="10"/>
        <rFont val="Noto Sans CJK SC"/>
        <family val="2"/>
      </rPr>
      <t xml:space="preserve">분석법</t>
    </r>
  </si>
  <si>
    <r>
      <rPr>
        <sz val="10"/>
        <rFont val="Noto Sans CJK SC"/>
        <family val="2"/>
      </rPr>
      <t xml:space="preserve">분석 플랫폼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방식</t>
    </r>
  </si>
  <si>
    <r>
      <rPr>
        <sz val="10"/>
        <rFont val="Arial"/>
        <family val="0"/>
        <charset val="1"/>
      </rPr>
      <t xml:space="preserve">ADA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NAb </t>
    </r>
    <r>
      <rPr>
        <sz val="10"/>
        <rFont val="Noto Sans CJK SC"/>
        <family val="2"/>
      </rPr>
      <t xml:space="preserve">분석법을 구분해 적음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제품 간 </t>
    </r>
    <r>
      <rPr>
        <sz val="10"/>
        <rFont val="Arial"/>
        <family val="0"/>
        <charset val="1"/>
      </rPr>
      <t xml:space="preserve">ADA </t>
    </r>
    <r>
      <rPr>
        <sz val="10"/>
        <rFont val="Noto Sans CJK SC"/>
        <family val="2"/>
      </rPr>
      <t xml:space="preserve">비교 제한의 근거</t>
    </r>
    <r>
      <rPr>
        <sz val="10"/>
        <rFont val="Arial"/>
        <family val="0"/>
        <charset val="1"/>
      </rPr>
      <t xml:space="preserve">.</t>
    </r>
  </si>
  <si>
    <t xml:space="preserve">ARM</t>
  </si>
  <si>
    <t xml:space="preserve">무작위배정 수</t>
  </si>
  <si>
    <t xml:space="preserve">군별 무작위배정 대상자 수</t>
  </si>
  <si>
    <t xml:space="preserve">INTEGER</t>
  </si>
  <si>
    <t xml:space="preserve">arm, analysis_set=RANDOMIZED</t>
  </si>
  <si>
    <r>
      <rPr>
        <sz val="10"/>
        <rFont val="Noto Sans CJK SC"/>
        <family val="2"/>
      </rPr>
      <t xml:space="preserve">군별 수가 없고 전체만 있으면 군별 행은 </t>
    </r>
    <r>
      <rPr>
        <sz val="10"/>
        <rFont val="Arial"/>
        <family val="0"/>
        <charset val="1"/>
      </rPr>
      <t xml:space="preserve">NOT_FOUND, </t>
    </r>
    <r>
      <rPr>
        <sz val="10"/>
        <rFont val="Noto Sans CJK SC"/>
        <family val="2"/>
      </rPr>
      <t xml:space="preserve">전체는 </t>
    </r>
    <r>
      <rPr>
        <sz val="10"/>
        <rFont val="Arial"/>
        <family val="0"/>
        <charset val="1"/>
      </rPr>
      <t xml:space="preserve">arm=ALL EXTRA 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</si>
  <si>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ALL </t>
    </r>
    <r>
      <rPr>
        <sz val="10"/>
        <rFont val="Noto Sans CJK SC"/>
        <family val="2"/>
      </rPr>
      <t xml:space="preserve">행 규칙 추가 </t>
    </r>
    <r>
      <rPr>
        <sz val="10"/>
        <rFont val="Arial"/>
        <family val="0"/>
        <charset val="1"/>
      </rPr>
      <t xml:space="preserve">(ABP)</t>
    </r>
  </si>
  <si>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분석 집단 크기</t>
    </r>
  </si>
  <si>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분석 집단의 군별 </t>
    </r>
    <r>
      <rPr>
        <sz val="10"/>
        <rFont val="Arial"/>
        <family val="0"/>
        <charset val="1"/>
      </rPr>
      <t xml:space="preserve">N</t>
    </r>
  </si>
  <si>
    <t xml:space="preserve">arm, analysis_set=PK_SET</t>
  </si>
  <si>
    <r>
      <rPr>
        <sz val="10"/>
        <rFont val="Noto Sans CJK SC"/>
        <family val="2"/>
      </rPr>
      <t xml:space="preserve">분석 집단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만 기록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평가변수별 실제 분석 수</t>
    </r>
    <r>
      <rPr>
        <sz val="10"/>
        <rFont val="Arial"/>
        <family val="0"/>
        <charset val="1"/>
      </rPr>
      <t xml:space="preserve">(n)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GMR </t>
    </r>
    <r>
      <rPr>
        <sz val="10"/>
        <rFont val="Noto Sans CJK SC"/>
        <family val="2"/>
      </rPr>
      <t xml:space="preserve">행의 </t>
    </r>
    <r>
      <rPr>
        <sz val="10"/>
        <rFont val="Arial"/>
        <family val="0"/>
        <charset val="1"/>
      </rPr>
      <t xml:space="preserve">n_test/n_ref</t>
    </r>
    <r>
      <rPr>
        <sz val="10"/>
        <rFont val="Noto Sans CJK SC"/>
        <family val="2"/>
      </rPr>
      <t xml:space="preserve">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</si>
  <si>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분리 </t>
    </r>
    <r>
      <rPr>
        <sz val="10"/>
        <rFont val="Arial"/>
        <family val="0"/>
        <charset val="1"/>
      </rPr>
      <t xml:space="preserve">(SB17: N=67, n=62/64/60)</t>
    </r>
  </si>
  <si>
    <t xml:space="preserve">COMPARISON</t>
  </si>
  <si>
    <r>
      <rPr>
        <sz val="10"/>
        <rFont val="Arial"/>
        <family val="0"/>
        <charset val="1"/>
      </rPr>
      <t xml:space="preserve">AUCinf </t>
    </r>
    <r>
      <rPr>
        <sz val="10"/>
        <rFont val="Noto Sans CJK SC"/>
        <family val="2"/>
      </rPr>
      <t xml:space="preserve">기하평균비</t>
    </r>
  </si>
  <si>
    <r>
      <rPr>
        <sz val="10"/>
        <rFont val="Noto Sans CJK SC"/>
        <family val="2"/>
      </rPr>
      <t xml:space="preserve">시험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대조 기하평균비와 </t>
    </r>
    <r>
      <rPr>
        <sz val="10"/>
        <rFont val="Arial"/>
        <family val="0"/>
        <charset val="1"/>
      </rPr>
      <t xml:space="preserve">90% CI</t>
    </r>
  </si>
  <si>
    <t xml:space="preserve">RATIO_CI</t>
  </si>
  <si>
    <r>
      <rPr>
        <sz val="10"/>
        <rFont val="Arial"/>
        <family val="0"/>
        <charset val="1"/>
      </rPr>
      <t xml:space="preserve">% (</t>
    </r>
    <r>
      <rPr>
        <sz val="10"/>
        <rFont val="Noto Sans CJK SC"/>
        <family val="2"/>
      </rPr>
      <t xml:space="preserve">원문 자릿수</t>
    </r>
    <r>
      <rPr>
        <sz val="10"/>
        <rFont val="Arial"/>
        <family val="0"/>
        <charset val="1"/>
      </rPr>
      <t xml:space="preserve">)</t>
    </r>
  </si>
  <si>
    <t xml:space="preserve">comparison, analysis_id, analysis_set</t>
  </si>
  <si>
    <r>
      <rPr>
        <sz val="10"/>
        <rFont val="Arial"/>
        <family val="0"/>
        <charset val="1"/>
      </rPr>
      <t xml:space="preserve">ratio</t>
    </r>
    <r>
      <rPr>
        <sz val="10"/>
        <rFont val="Noto Sans CJK SC"/>
        <family val="2"/>
      </rPr>
      <t xml:space="preserve">면 </t>
    </r>
    <r>
      <rPr>
        <sz val="10"/>
        <rFont val="Arial"/>
        <family val="0"/>
        <charset val="1"/>
      </rPr>
      <t xml:space="preserve">×100. </t>
    </r>
    <r>
      <rPr>
        <sz val="10"/>
        <rFont val="Noto Sans CJK SC"/>
        <family val="2"/>
      </rPr>
      <t xml:space="preserve">원문 방향 그대로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분모 </t>
    </r>
    <r>
      <rPr>
        <sz val="10"/>
        <rFont val="Arial"/>
        <family val="0"/>
        <charset val="1"/>
      </rPr>
      <t xml:space="preserve">= comparison). </t>
    </r>
    <r>
      <rPr>
        <sz val="10"/>
        <rFont val="Noto Sans CJK SC"/>
        <family val="2"/>
      </rPr>
      <t xml:space="preserve">핵심 격자는 </t>
    </r>
    <r>
      <rPr>
        <sz val="10"/>
        <rFont val="Arial"/>
        <family val="0"/>
        <charset val="1"/>
      </rPr>
      <t xml:space="preserve">analysis_id=PRIMARY. </t>
    </r>
    <r>
      <rPr>
        <sz val="10"/>
        <rFont val="Noto Sans CJK SC"/>
        <family val="2"/>
      </rPr>
      <t xml:space="preserve">같은 비교의 다른 분석은 </t>
    </r>
    <r>
      <rPr>
        <sz val="10"/>
        <rFont val="Arial"/>
        <family val="0"/>
        <charset val="1"/>
      </rPr>
      <t xml:space="preserve">EXTRA 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</si>
  <si>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analysis_id </t>
    </r>
    <r>
      <rPr>
        <sz val="10"/>
        <rFont val="Noto Sans CJK SC"/>
        <family val="2"/>
      </rPr>
      <t xml:space="preserve">키 추가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비교 방향 규칙</t>
    </r>
  </si>
  <si>
    <r>
      <rPr>
        <sz val="10"/>
        <rFont val="Arial"/>
        <family val="0"/>
        <charset val="1"/>
      </rPr>
      <t xml:space="preserve">AUClast </t>
    </r>
    <r>
      <rPr>
        <sz val="10"/>
        <rFont val="Noto Sans CJK SC"/>
        <family val="2"/>
      </rPr>
      <t xml:space="preserve">기하평균비</t>
    </r>
  </si>
  <si>
    <t xml:space="preserve">〃</t>
  </si>
  <si>
    <r>
      <rPr>
        <sz val="10"/>
        <rFont val="Noto Sans CJK SC"/>
        <family val="2"/>
      </rPr>
      <t xml:space="preserve">기술통계만 있으면 </t>
    </r>
    <r>
      <rPr>
        <sz val="10"/>
        <rFont val="Arial"/>
        <family val="0"/>
        <charset val="1"/>
      </rPr>
      <t xml:space="preserve">NOT_FOUND.</t>
    </r>
  </si>
  <si>
    <r>
      <rPr>
        <sz val="10"/>
        <rFont val="Arial"/>
        <family val="0"/>
        <charset val="1"/>
      </rPr>
      <t xml:space="preserve">AUCtau </t>
    </r>
    <r>
      <rPr>
        <sz val="10"/>
        <rFont val="Noto Sans CJK SC"/>
        <family val="2"/>
      </rPr>
      <t xml:space="preserve">기하평균비</t>
    </r>
  </si>
  <si>
    <t xml:space="preserve">반복투여 정상상태</t>
  </si>
  <si>
    <t xml:space="preserve">comparison, analysis_id, analysis_set, timepoint</t>
  </si>
  <si>
    <r>
      <rPr>
        <sz val="10"/>
        <rFont val="Noto Sans CJK SC"/>
        <family val="2"/>
      </rPr>
      <t xml:space="preserve">단회투여 시험에는 쓰지 않음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</si>
  <si>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Cmax </t>
    </r>
    <r>
      <rPr>
        <sz val="10"/>
        <rFont val="Noto Sans CJK SC"/>
        <family val="2"/>
      </rPr>
      <t xml:space="preserve">기하평균비</t>
    </r>
  </si>
  <si>
    <r>
      <rPr>
        <sz val="10"/>
        <rFont val="Arial"/>
        <family val="0"/>
        <charset val="1"/>
      </rPr>
      <t xml:space="preserve">pk_gmr_auc_inf</t>
    </r>
    <r>
      <rPr>
        <sz val="10"/>
        <rFont val="Noto Sans CJK SC"/>
        <family val="2"/>
      </rPr>
      <t xml:space="preserve">와 같은 규칙</t>
    </r>
    <r>
      <rPr>
        <sz val="10"/>
        <rFont val="Arial"/>
        <family val="0"/>
        <charset val="1"/>
      </rPr>
      <t xml:space="preserve">.</t>
    </r>
  </si>
  <si>
    <t xml:space="preserve">동등성 결론</t>
  </si>
  <si>
    <r>
      <rPr>
        <sz val="10"/>
        <rFont val="Noto Sans CJK SC"/>
        <family val="2"/>
      </rPr>
      <t xml:space="preserve">원문이 동등성 충족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미충족을 결론냈는지</t>
    </r>
  </si>
  <si>
    <t xml:space="preserve">ENUM(Y/N)</t>
  </si>
  <si>
    <t xml:space="preserve">comparison, analysis_id</t>
  </si>
  <si>
    <r>
      <rPr>
        <sz val="10"/>
        <rFont val="Noto Sans CJK SC"/>
        <family val="2"/>
      </rPr>
      <t xml:space="preserve">결론 문장이 명시적이어야 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다른 문장에서 함의만 되면 </t>
    </r>
    <r>
      <rPr>
        <sz val="10"/>
        <rFont val="Arial"/>
        <family val="0"/>
        <charset val="1"/>
      </rPr>
      <t xml:space="preserve">PENDING</t>
    </r>
    <r>
      <rPr>
        <sz val="10"/>
        <rFont val="Noto Sans CJK SC"/>
        <family val="2"/>
      </rPr>
      <t xml:space="preserve">으로 두고 사람 판정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</si>
  <si>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함의 판정 → </t>
    </r>
    <r>
      <rPr>
        <sz val="10"/>
        <rFont val="Arial"/>
        <family val="0"/>
        <charset val="1"/>
      </rPr>
      <t xml:space="preserve">PENDING (CT-P43 1.1 EU/US)</t>
    </r>
  </si>
  <si>
    <r>
      <rPr>
        <sz val="10"/>
        <rFont val="Arial"/>
        <family val="0"/>
        <charset val="1"/>
      </rPr>
      <t xml:space="preserve">ADA </t>
    </r>
    <r>
      <rPr>
        <sz val="10"/>
        <rFont val="Noto Sans CJK SC"/>
        <family val="2"/>
      </rPr>
      <t xml:space="preserve">양성률</t>
    </r>
  </si>
  <si>
    <r>
      <rPr>
        <sz val="10"/>
        <rFont val="Noto Sans CJK SC"/>
        <family val="2"/>
      </rPr>
      <t xml:space="preserve">군별 </t>
    </r>
    <r>
      <rPr>
        <sz val="10"/>
        <rFont val="Arial"/>
        <family val="0"/>
        <charset val="1"/>
      </rPr>
      <t xml:space="preserve">ADA </t>
    </r>
    <r>
      <rPr>
        <sz val="10"/>
        <rFont val="Noto Sans CJK SC"/>
        <family val="2"/>
      </rPr>
      <t xml:space="preserve">양성 비율</t>
    </r>
  </si>
  <si>
    <t xml:space="preserve">PERCENT</t>
  </si>
  <si>
    <r>
      <rPr>
        <sz val="10"/>
        <rFont val="Arial"/>
        <family val="0"/>
        <charset val="1"/>
      </rPr>
      <t xml:space="preserve">arm, analysis_id(</t>
    </r>
    <r>
      <rPr>
        <sz val="10"/>
        <rFont val="Noto Sans CJK SC"/>
        <family val="2"/>
      </rPr>
      <t xml:space="preserve">정의</t>
    </r>
    <r>
      <rPr>
        <sz val="10"/>
        <rFont val="Arial"/>
        <family val="0"/>
        <charset val="1"/>
      </rPr>
      <t xml:space="preserve">), analysis_set, timepoint</t>
    </r>
  </si>
  <si>
    <r>
      <rPr>
        <sz val="10"/>
        <rFont val="Arial"/>
        <family val="0"/>
        <charset val="1"/>
      </rPr>
      <t xml:space="preserve">analysis_id</t>
    </r>
    <r>
      <rPr>
        <sz val="10"/>
        <rFont val="Noto Sans CJK SC"/>
        <family val="2"/>
      </rPr>
      <t xml:space="preserve">로 정의를 구분</t>
    </r>
    <r>
      <rPr>
        <sz val="10"/>
        <rFont val="Arial"/>
        <family val="0"/>
        <charset val="1"/>
      </rPr>
      <t xml:space="preserve">(ADA_POSTDOSE_ANY / ADA_TREATMENT_EMERGENT / ADA_ANYTIME). </t>
    </r>
    <r>
      <rPr>
        <sz val="10"/>
        <rFont val="Noto Sans CJK SC"/>
        <family val="2"/>
      </rPr>
      <t xml:space="preserve">핵심 격자에는 원문의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투여 후 전체 기간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지표</t>
    </r>
    <r>
      <rPr>
        <sz val="10"/>
        <rFont val="Arial"/>
        <family val="0"/>
        <charset val="1"/>
      </rPr>
      <t xml:space="preserve">. value_text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n/N </t>
    </r>
    <r>
      <rPr>
        <sz val="10"/>
        <rFont val="Noto Sans CJK SC"/>
        <family val="2"/>
      </rPr>
      <t xml:space="preserve">원문 그대로</t>
    </r>
    <r>
      <rPr>
        <sz val="10"/>
        <rFont val="Arial"/>
        <family val="0"/>
        <charset val="1"/>
      </rPr>
      <t xml:space="preserve">, denominator</t>
    </r>
    <r>
      <rPr>
        <sz val="10"/>
        <rFont val="Noto Sans CJK SC"/>
        <family val="2"/>
      </rPr>
      <t xml:space="preserve">에 분모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</si>
  <si>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정의별 </t>
    </r>
    <r>
      <rPr>
        <sz val="10"/>
        <rFont val="Arial"/>
        <family val="0"/>
        <charset val="1"/>
      </rPr>
      <t xml:space="preserve">analysis_id, denominator </t>
    </r>
    <r>
      <rPr>
        <sz val="10"/>
        <rFont val="Noto Sans CJK SC"/>
        <family val="2"/>
      </rPr>
      <t xml:space="preserve">열 추가</t>
    </r>
  </si>
  <si>
    <t xml:space="preserve">중화항체 양성률</t>
  </si>
  <si>
    <r>
      <rPr>
        <sz val="10"/>
        <rFont val="Noto Sans CJK SC"/>
        <family val="2"/>
      </rPr>
      <t xml:space="preserve">군별 </t>
    </r>
    <r>
      <rPr>
        <sz val="10"/>
        <rFont val="Arial"/>
        <family val="0"/>
        <charset val="1"/>
      </rPr>
      <t xml:space="preserve">NAb </t>
    </r>
    <r>
      <rPr>
        <sz val="10"/>
        <rFont val="Noto Sans CJK SC"/>
        <family val="2"/>
      </rPr>
      <t xml:space="preserve">양성 비율</t>
    </r>
  </si>
  <si>
    <r>
      <rPr>
        <sz val="10"/>
        <rFont val="Noto Sans CJK SC"/>
        <family val="2"/>
      </rPr>
      <t xml:space="preserve">분모가 전체 대상자인지 </t>
    </r>
    <r>
      <rPr>
        <sz val="10"/>
        <rFont val="Arial"/>
        <family val="0"/>
        <charset val="1"/>
      </rPr>
      <t xml:space="preserve">ADA </t>
    </r>
    <r>
      <rPr>
        <sz val="10"/>
        <rFont val="Noto Sans CJK SC"/>
        <family val="2"/>
      </rPr>
      <t xml:space="preserve">양성자인지 </t>
    </r>
    <r>
      <rPr>
        <sz val="10"/>
        <rFont val="Arial"/>
        <family val="0"/>
        <charset val="1"/>
      </rPr>
      <t xml:space="preserve">denominator</t>
    </r>
    <r>
      <rPr>
        <sz val="10"/>
        <rFont val="Noto Sans CJK SC"/>
        <family val="2"/>
      </rPr>
      <t xml:space="preserve">에 필수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전체 기간 값이 없으면 </t>
    </r>
    <r>
      <rPr>
        <sz val="10"/>
        <rFont val="Arial"/>
        <family val="0"/>
        <charset val="1"/>
      </rPr>
      <t xml:space="preserve">NOT_FOUND, </t>
    </r>
    <r>
      <rPr>
        <sz val="10"/>
        <rFont val="Noto Sans CJK SC"/>
        <family val="2"/>
      </rPr>
      <t xml:space="preserve">시점별 값은 </t>
    </r>
    <r>
      <rPr>
        <sz val="10"/>
        <rFont val="Arial"/>
        <family val="0"/>
        <charset val="1"/>
      </rPr>
      <t xml:space="preserve">EXTRA.</t>
    </r>
  </si>
  <si>
    <r>
      <rPr>
        <sz val="10"/>
        <rFont val="Arial"/>
        <family val="0"/>
        <charset val="1"/>
      </rPr>
      <t xml:space="preserve">SB17</t>
    </r>
    <r>
      <rPr>
        <sz val="10"/>
        <rFont val="Noto Sans CJK SC"/>
        <family val="2"/>
      </rPr>
      <t xml:space="preserve">은 시점별</t>
    </r>
    <r>
      <rPr>
        <sz val="10"/>
        <rFont val="Arial"/>
        <family val="0"/>
        <charset val="1"/>
      </rPr>
      <t xml:space="preserve">·ADA </t>
    </r>
    <r>
      <rPr>
        <sz val="10"/>
        <rFont val="Noto Sans CJK SC"/>
        <family val="2"/>
      </rPr>
      <t xml:space="preserve">양성자 분모만 있음</t>
    </r>
  </si>
  <si>
    <t xml:space="preserve">role</t>
  </si>
  <si>
    <t xml:space="preserve">dev_code</t>
  </si>
  <si>
    <t xml:space="preserve">ingredient</t>
  </si>
  <si>
    <t xml:space="preserve">eu_name</t>
  </si>
  <si>
    <t xml:space="preserve">us_name</t>
  </si>
  <si>
    <t xml:space="preserve">developer</t>
  </si>
  <si>
    <t xml:space="preserve">ema_product_number</t>
  </si>
  <si>
    <t xml:space="preserve">fda_bla</t>
  </si>
  <si>
    <t xml:space="preserve">SB17</t>
  </si>
  <si>
    <t xml:space="preserve">ustekinumab</t>
  </si>
  <si>
    <t xml:space="preserve">Pyzchiva</t>
  </si>
  <si>
    <t xml:space="preserve">Samsung Bioepis</t>
  </si>
  <si>
    <t xml:space="preserve">EMEA/H/C/006183</t>
  </si>
  <si>
    <t xml:space="preserve">761373; 761425</t>
  </si>
  <si>
    <t xml:space="preserve">AUTO</t>
  </si>
  <si>
    <r>
      <rPr>
        <sz val="10"/>
        <rFont val="Arial"/>
        <family val="0"/>
        <charset val="1"/>
      </rPr>
      <t xml:space="preserve">EMA JSON·Drugs@FDA (biosimilar_collection </t>
    </r>
    <r>
      <rPr>
        <sz val="10"/>
        <rFont val="Noto Sans CJK SC"/>
        <family val="2"/>
      </rPr>
      <t xml:space="preserve">수집본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미국 유통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라벨 등록 주체는 개발사와 별도 관리</t>
    </r>
  </si>
  <si>
    <t xml:space="preserve">ABP 654</t>
  </si>
  <si>
    <t xml:space="preserve">Wezenla</t>
  </si>
  <si>
    <t xml:space="preserve">Wezlana</t>
  </si>
  <si>
    <t xml:space="preserve">Amgen</t>
  </si>
  <si>
    <t xml:space="preserve">EMEA/H/C/006132</t>
  </si>
  <si>
    <t xml:space="preserve">761285; 761331</t>
  </si>
  <si>
    <r>
      <rPr>
        <sz val="10"/>
        <rFont val="Noto Sans CJK SC"/>
        <family val="2"/>
      </rPr>
      <t xml:space="preserve">지역별 제품명 다름</t>
    </r>
    <r>
      <rPr>
        <sz val="10"/>
        <rFont val="Arial"/>
        <family val="0"/>
        <charset val="1"/>
      </rPr>
      <t xml:space="preserve">(EU Wezenla / US Wezlana)</t>
    </r>
  </si>
  <si>
    <t xml:space="preserve">CT-P43</t>
  </si>
  <si>
    <t xml:space="preserve">Steqeyma</t>
  </si>
  <si>
    <t xml:space="preserve">Celltrion</t>
  </si>
  <si>
    <t xml:space="preserve">EMEA/H/C/005918</t>
  </si>
  <si>
    <t xml:space="preserve">761338</t>
  </si>
  <si>
    <t xml:space="preserve">P_STELARA</t>
  </si>
  <si>
    <t xml:space="preserve">REFERENCE</t>
  </si>
  <si>
    <t xml:space="preserve">Stelara</t>
  </si>
  <si>
    <t xml:space="preserve">Janssen</t>
  </si>
  <si>
    <r>
      <rPr>
        <sz val="10"/>
        <rFont val="Noto Sans CJK SC"/>
        <family val="2"/>
      </rPr>
      <t xml:space="preserve">대조약</t>
    </r>
    <r>
      <rPr>
        <sz val="10"/>
        <rFont val="Arial"/>
        <family val="0"/>
        <charset val="1"/>
      </rPr>
      <t xml:space="preserve">. EU/US </t>
    </r>
    <r>
      <rPr>
        <sz val="10"/>
        <rFont val="Noto Sans CJK SC"/>
        <family val="2"/>
      </rPr>
      <t xml:space="preserve">출처는 </t>
    </r>
    <r>
      <rPr>
        <sz val="10"/>
        <rFont val="Arial"/>
        <family val="0"/>
        <charset val="1"/>
      </rPr>
      <t xml:space="preserve">arm(EU_RP/US_RP)</t>
    </r>
    <r>
      <rPr>
        <sz val="10"/>
        <rFont val="Noto Sans CJK SC"/>
        <family val="2"/>
      </rPr>
      <t xml:space="preserve">으로 구분</t>
    </r>
  </si>
  <si>
    <t xml:space="preserve">document_id</t>
  </si>
  <si>
    <t xml:space="preserve">source_type</t>
  </si>
  <si>
    <t xml:space="preserve">title</t>
  </si>
  <si>
    <t xml:space="preserve">url</t>
  </si>
  <si>
    <t xml:space="preserve">sha256</t>
  </si>
  <si>
    <t xml:space="preserve">total_pages</t>
  </si>
  <si>
    <t xml:space="preserve">retrieved</t>
  </si>
  <si>
    <t xml:space="preserve">EMA:63563</t>
  </si>
  <si>
    <t xml:space="preserve">EPAR</t>
  </si>
  <si>
    <t xml:space="preserve">Pyzchiva EPAR – public assessment report (EMA/106045/2024)</t>
  </si>
  <si>
    <t xml:space="preserve">https://www.ema.europa.eu/en/documents/assessment-report/pyzchiva-epar-public-assessment-report_en.pdf</t>
  </si>
  <si>
    <t xml:space="preserve">fea275487bb971962201b77aec3d2e12cee7d545be026b378f1980fa272f6e76</t>
  </si>
  <si>
    <t xml:space="preserve">2026-10-02 KST</t>
  </si>
  <si>
    <r>
      <rPr>
        <sz val="10"/>
        <rFont val="Noto Sans CJK SC"/>
        <family val="2"/>
      </rPr>
      <t xml:space="preserve">정답 기준 문서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해시 고정</t>
    </r>
    <r>
      <rPr>
        <sz val="10"/>
        <rFont val="Arial"/>
        <family val="0"/>
        <charset val="1"/>
      </rPr>
      <t xml:space="preserve">)</t>
    </r>
  </si>
  <si>
    <t xml:space="preserve">EMA:64196</t>
  </si>
  <si>
    <t xml:space="preserve">Wezenla EPAR – public assessment report (EMA/228742/2024)</t>
  </si>
  <si>
    <t xml:space="preserve">https://www.ema.europa.eu/en/documents/assessment-report/wezenla-epar-public-assessment-report_en.pdf</t>
  </si>
  <si>
    <t xml:space="preserve">123ca94880a07a1e9affd6f894d7c6dd95ac38714657ed338683b8ed2016e03c</t>
  </si>
  <si>
    <r>
      <rPr>
        <sz val="10"/>
        <rFont val="Noto Sans CJK SC"/>
        <family val="2"/>
      </rPr>
      <t xml:space="preserve">핵심 </t>
    </r>
    <r>
      <rPr>
        <sz val="10"/>
        <rFont val="Arial"/>
        <family val="0"/>
        <charset val="1"/>
      </rPr>
      <t xml:space="preserve">PK·ADA </t>
    </r>
    <r>
      <rPr>
        <sz val="10"/>
        <rFont val="Noto Sans CJK SC"/>
        <family val="2"/>
      </rPr>
      <t xml:space="preserve">표가 이미지</t>
    </r>
  </si>
  <si>
    <t xml:space="preserve">EMA:64792</t>
  </si>
  <si>
    <t xml:space="preserve">Steqeyma EPAR – public assessment report (EMA/328491/2024)</t>
  </si>
  <si>
    <t xml:space="preserve">https://www.ema.europa.eu/en/documents/assessment-report/steqeyma-epar-public-assessment-report_en.pdf</t>
  </si>
  <si>
    <t xml:space="preserve">513959da3a6d724b63160792cbf18acb7f83d3396ab8147f491d543ce392bcce</t>
  </si>
  <si>
    <t xml:space="preserve">PRIOR_EXTRACTION</t>
  </si>
  <si>
    <r>
      <rPr>
        <sz val="10"/>
        <rFont val="Arial"/>
        <family val="0"/>
        <charset val="1"/>
      </rPr>
      <t xml:space="preserve">data/reviewed/observations.jsonl (PK 8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, assistant_visual_spot_check)</t>
    </r>
  </si>
  <si>
    <t xml:space="preserve">2026-10-01</t>
  </si>
  <si>
    <t xml:space="preserve">CROSSCHECK</t>
  </si>
  <si>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EPAR</t>
    </r>
    <r>
      <rPr>
        <sz val="10"/>
        <rFont val="Noto Sans CJK SC"/>
        <family val="2"/>
      </rPr>
      <t xml:space="preserve">에서 이전에 뽑은 값 → 재추출 일치 확인용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독립 출처가 아니므로 </t>
    </r>
    <r>
      <rPr>
        <sz val="10"/>
        <rFont val="Arial"/>
        <family val="0"/>
        <charset val="1"/>
      </rPr>
      <t xml:space="preserve">CROSS </t>
    </r>
    <r>
      <rPr>
        <sz val="10"/>
        <rFont val="Noto Sans CJK SC"/>
        <family val="2"/>
      </rPr>
      <t xml:space="preserve">등급 근거로 쓰지 않음</t>
    </r>
  </si>
  <si>
    <t xml:space="preserve">REGISTRY_EUCTR</t>
  </si>
  <si>
    <t xml:space="preserve">EudraCT 2020-005205-42 results (20200417, interchangeability)</t>
  </si>
  <si>
    <t xml:space="preserve">https://www.clinicaltrialsregister.eu/ctr-search/trial/2020-005205-42/results</t>
  </si>
  <si>
    <t xml:space="preserve">2026-10-02</t>
  </si>
  <si>
    <t xml:space="preserve">CONTEXT</t>
  </si>
  <si>
    <r>
      <rPr>
        <sz val="10"/>
        <rFont val="Noto Sans CJK SC"/>
        <family val="2"/>
      </rPr>
      <t xml:space="preserve">예시 행 출처</t>
    </r>
    <r>
      <rPr>
        <sz val="10"/>
        <rFont val="Arial"/>
        <family val="0"/>
        <charset val="1"/>
      </rPr>
      <t xml:space="preserve">. Wezenla EPAR</t>
    </r>
    <r>
      <rPr>
        <sz val="10"/>
        <rFont val="Noto Sans CJK SC"/>
        <family val="2"/>
      </rPr>
      <t xml:space="preserve">에는 없는 시험</t>
    </r>
  </si>
  <si>
    <t xml:space="preserve">q_id</t>
  </si>
  <si>
    <t xml:space="preserve">question</t>
  </si>
  <si>
    <t xml:space="preserve">target_products</t>
  </si>
  <si>
    <t xml:space="preserve">answer_type</t>
  </si>
  <si>
    <t xml:space="preserve">gold_reference</t>
  </si>
  <si>
    <t xml:space="preserve">must_not</t>
  </si>
  <si>
    <t xml:space="preserve">pass_rule</t>
  </si>
  <si>
    <t xml:space="preserve">Q01</t>
  </si>
  <si>
    <r>
      <rPr>
        <sz val="10"/>
        <rFont val="Arial"/>
        <family val="0"/>
        <charset val="1"/>
      </rPr>
      <t xml:space="preserve">SB17, ABP 654, CT-P43</t>
    </r>
    <r>
      <rPr>
        <sz val="10"/>
        <rFont val="Noto Sans CJK SC"/>
        <family val="2"/>
      </rPr>
      <t xml:space="preserve">의 미국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유럽 제품명과 공개 심사 문서를 연결해줘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</si>
  <si>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제품</t>
    </r>
  </si>
  <si>
    <t xml:space="preserve">TABLE</t>
  </si>
  <si>
    <t xml:space="preserve">products + sources</t>
  </si>
  <si>
    <t xml:space="preserve">이름만으로 동일시</t>
  </si>
  <si>
    <r>
      <rPr>
        <sz val="10"/>
        <rFont val="Noto Sans CJK SC"/>
        <family val="2"/>
      </rPr>
      <t xml:space="preserve">매핑 </t>
    </r>
    <r>
      <rPr>
        <sz val="10"/>
        <rFont val="Arial"/>
        <family val="0"/>
        <charset val="1"/>
      </rPr>
      <t xml:space="preserve">100%</t>
    </r>
  </si>
  <si>
    <t xml:space="preserve">Q02</t>
  </si>
  <si>
    <r>
      <rPr>
        <sz val="10"/>
        <rFont val="Noto Sans CJK SC"/>
        <family val="2"/>
      </rPr>
      <t xml:space="preserve">세 제품의 </t>
    </r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시험 설계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대상자 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용량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대조약과 주요 결과를 비교해줘</t>
    </r>
    <r>
      <rPr>
        <sz val="10"/>
        <rFont val="Arial"/>
        <family val="0"/>
        <charset val="1"/>
      </rPr>
      <t xml:space="preserve">.</t>
    </r>
  </si>
  <si>
    <t xml:space="preserve">gold_values CORE (DESIGN·PK)</t>
  </si>
  <si>
    <r>
      <rPr>
        <sz val="10"/>
        <rFont val="Noto Sans CJK SC"/>
        <family val="2"/>
      </rPr>
      <t xml:space="preserve">다른 분석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시험 값 혼입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용량 차이 누락</t>
    </r>
    <r>
      <rPr>
        <sz val="10"/>
        <rFont val="Arial"/>
        <family val="0"/>
        <charset val="1"/>
      </rPr>
      <t xml:space="preserve">; CT-P43 </t>
    </r>
    <r>
      <rPr>
        <sz val="10"/>
        <rFont val="Noto Sans CJK SC"/>
        <family val="2"/>
      </rPr>
      <t xml:space="preserve">두 시험 합치기</t>
    </r>
  </si>
  <si>
    <t xml:space="preserve">칸 단위 채점</t>
  </si>
  <si>
    <t xml:space="preserve">Q03</t>
  </si>
  <si>
    <r>
      <rPr>
        <sz val="10"/>
        <rFont val="Arial"/>
        <family val="0"/>
        <charset val="1"/>
      </rPr>
      <t xml:space="preserve">ADA</t>
    </r>
    <r>
      <rPr>
        <sz val="10"/>
        <rFont val="Noto Sans CJK SC"/>
        <family val="2"/>
      </rPr>
      <t xml:space="preserve">와 중화항체 결과를 비교하고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직접 비교할 수 없는 부분도 알려줘</t>
    </r>
    <r>
      <rPr>
        <sz val="10"/>
        <rFont val="Arial"/>
        <family val="0"/>
        <charset val="1"/>
      </rPr>
      <t xml:space="preserve">.</t>
    </r>
  </si>
  <si>
    <t xml:space="preserve">TABLE+NARRATIVE</t>
  </si>
  <si>
    <t xml:space="preserve">gold_values IMMUNO + ambiguity_log A7·A8</t>
  </si>
  <si>
    <r>
      <rPr>
        <sz val="10"/>
        <rFont val="Noto Sans CJK SC"/>
        <family val="2"/>
      </rPr>
      <t xml:space="preserve">정의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분모가 다른 수치로 우열 단정</t>
    </r>
  </si>
  <si>
    <r>
      <rPr>
        <sz val="10"/>
        <rFont val="Noto Sans CJK SC"/>
        <family val="2"/>
      </rPr>
      <t xml:space="preserve">칸 채점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정의 차이 언급</t>
    </r>
  </si>
  <si>
    <t xml:space="preserve">Q04</t>
  </si>
  <si>
    <r>
      <rPr>
        <sz val="10"/>
        <rFont val="Arial"/>
        <family val="0"/>
        <charset val="1"/>
      </rPr>
      <t xml:space="preserve">CT-P43 1.1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AUC </t>
    </r>
    <r>
      <rPr>
        <sz val="10"/>
        <rFont val="Noto Sans CJK SC"/>
        <family val="2"/>
      </rPr>
      <t xml:space="preserve">동등성이 실패한 이유와 이후 대응을 설명해줘</t>
    </r>
    <r>
      <rPr>
        <sz val="10"/>
        <rFont val="Arial"/>
        <family val="0"/>
        <charset val="1"/>
      </rPr>
      <t xml:space="preserve">.</t>
    </r>
  </si>
  <si>
    <t xml:space="preserve">NARRATIVE</t>
  </si>
  <si>
    <t xml:space="preserve">EPAR p35–37, 39–44, 51</t>
  </si>
  <si>
    <r>
      <rPr>
        <sz val="10"/>
        <rFont val="Noto Sans CJK SC"/>
        <family val="2"/>
      </rPr>
      <t xml:space="preserve">사후 보정 값을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결과처럼 제시</t>
    </r>
  </si>
  <si>
    <r>
      <rPr>
        <sz val="10"/>
        <rFont val="Noto Sans CJK SC"/>
        <family val="2"/>
      </rPr>
      <t xml:space="preserve">단백질 함량</t>
    </r>
    <r>
      <rPr>
        <sz val="10"/>
        <rFont val="Arial"/>
        <family val="0"/>
        <charset val="1"/>
      </rPr>
      <t xml:space="preserve">·ADA·</t>
    </r>
    <r>
      <rPr>
        <sz val="10"/>
        <rFont val="Noto Sans CJK SC"/>
        <family val="2"/>
      </rPr>
      <t xml:space="preserve">체중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요인 </t>
    </r>
    <r>
      <rPr>
        <sz val="10"/>
        <rFont val="Arial"/>
        <family val="0"/>
        <charset val="1"/>
      </rPr>
      <t xml:space="preserve">+ 1.2 </t>
    </r>
    <r>
      <rPr>
        <sz val="10"/>
        <rFont val="Noto Sans CJK SC"/>
        <family val="2"/>
      </rPr>
      <t xml:space="preserve">재수행 언급</t>
    </r>
  </si>
  <si>
    <t xml:space="preserve">Q05</t>
  </si>
  <si>
    <r>
      <rPr>
        <sz val="10"/>
        <rFont val="Noto Sans CJK SC"/>
        <family val="2"/>
      </rPr>
      <t xml:space="preserve">비교표에서 찾지 못한 항목과 그 이유만 보여줘</t>
    </r>
    <r>
      <rPr>
        <sz val="10"/>
        <rFont val="Arial"/>
        <family val="0"/>
        <charset val="1"/>
      </rPr>
      <t xml:space="preserve">.</t>
    </r>
  </si>
  <si>
    <t xml:space="preserve">STATUS_LIST</t>
  </si>
  <si>
    <t xml:space="preserve">gold_values status·searched_scope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</si>
  <si>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찾지 못함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시험 안 함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표현</t>
    </r>
  </si>
  <si>
    <r>
      <rPr>
        <sz val="10"/>
        <rFont val="Arial"/>
        <family val="0"/>
        <charset val="1"/>
      </rPr>
      <t xml:space="preserve">NOT_FOUND 19</t>
    </r>
    <r>
      <rPr>
        <sz val="10"/>
        <rFont val="Noto Sans CJK SC"/>
        <family val="2"/>
      </rPr>
      <t xml:space="preserve">칸 일치</t>
    </r>
  </si>
  <si>
    <t xml:space="preserve">test_id</t>
  </si>
  <si>
    <t xml:space="preserve">test_type</t>
  </si>
  <si>
    <t xml:space="preserve">expected_behavior</t>
  </si>
  <si>
    <t xml:space="preserve">gold_ref</t>
  </si>
  <si>
    <t xml:space="preserve">SYN-01</t>
  </si>
  <si>
    <t xml:space="preserve">ANALYSIS_TRAP</t>
  </si>
  <si>
    <r>
      <rPr>
        <sz val="10"/>
        <rFont val="Arial"/>
        <family val="0"/>
        <charset val="1"/>
      </rPr>
      <t xml:space="preserve">CT-P43 1.1 Part 2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CT-P43/EU AUC0-inf </t>
    </r>
    <r>
      <rPr>
        <sz val="10"/>
        <rFont val="Noto Sans CJK SC"/>
        <family val="2"/>
      </rPr>
      <t xml:space="preserve">비율은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</si>
  <si>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분석 </t>
    </r>
    <r>
      <rPr>
        <sz val="10"/>
        <rFont val="Arial"/>
        <family val="0"/>
        <charset val="1"/>
      </rPr>
      <t xml:space="preserve">124.36 (115.58–133.82) </t>
    </r>
    <r>
      <rPr>
        <sz val="10"/>
        <rFont val="Noto Sans CJK SC"/>
        <family val="2"/>
      </rPr>
      <t xml:space="preserve">제시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사후 분석 값은 구분해 언급</t>
    </r>
  </si>
  <si>
    <r>
      <rPr>
        <sz val="10"/>
        <rFont val="Arial"/>
        <family val="0"/>
        <charset val="1"/>
      </rPr>
      <t xml:space="preserve">124.59·114.32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결과로 제시하면 실패</t>
    </r>
  </si>
  <si>
    <r>
      <rPr>
        <sz val="10"/>
        <rFont val="Arial"/>
        <family val="0"/>
        <charset val="1"/>
      </rPr>
      <t xml:space="preserve">G-CTP11 PRIMARY </t>
    </r>
    <r>
      <rPr>
        <sz val="10"/>
        <rFont val="Noto Sans CJK SC"/>
        <family val="2"/>
      </rPr>
      <t xml:space="preserve">행</t>
    </r>
  </si>
  <si>
    <t xml:space="preserve">SYN-02</t>
  </si>
  <si>
    <t xml:space="preserve">QUALITATIVE_ONLY</t>
  </si>
  <si>
    <r>
      <rPr>
        <sz val="10"/>
        <rFont val="Arial"/>
        <family val="0"/>
        <charset val="1"/>
      </rPr>
      <t xml:space="preserve">SB17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US Stelara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Cmax </t>
    </r>
    <r>
      <rPr>
        <sz val="10"/>
        <rFont val="Noto Sans CJK SC"/>
        <family val="2"/>
      </rPr>
      <t xml:space="preserve">비율은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</si>
  <si>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분석 수치는 </t>
    </r>
    <r>
      <rPr>
        <sz val="10"/>
        <rFont val="Arial"/>
        <family val="0"/>
        <charset val="1"/>
      </rPr>
      <t xml:space="preserve">EPAR</t>
    </r>
    <r>
      <rPr>
        <sz val="10"/>
        <rFont val="Noto Sans CJK SC"/>
        <family val="2"/>
      </rPr>
      <t xml:space="preserve">에 없음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사후 </t>
    </r>
    <r>
      <rPr>
        <sz val="10"/>
        <rFont val="Arial"/>
        <family val="0"/>
        <charset val="1"/>
      </rPr>
      <t xml:space="preserve">ANCOVA 0.96 (0.88–1.05)</t>
    </r>
    <r>
      <rPr>
        <sz val="10"/>
        <rFont val="Noto Sans CJK SC"/>
        <family val="2"/>
      </rPr>
      <t xml:space="preserve">만 있음을 명시</t>
    </r>
  </si>
  <si>
    <r>
      <rPr>
        <sz val="10"/>
        <rFont val="Noto Sans CJK SC"/>
        <family val="2"/>
      </rPr>
      <t xml:space="preserve">출처 없이 숫자를 만들거나 사후 값을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차로 제시하면 실패</t>
    </r>
  </si>
  <si>
    <t xml:space="preserve">SB17 NOT_FOUND + EXTRA</t>
  </si>
  <si>
    <t xml:space="preserve">SYN-03</t>
  </si>
  <si>
    <t xml:space="preserve">DIRECTION_TRAP</t>
  </si>
  <si>
    <r>
      <rPr>
        <sz val="10"/>
        <rFont val="Arial"/>
        <family val="0"/>
        <charset val="1"/>
      </rPr>
      <t xml:space="preserve">ABP 654 </t>
    </r>
    <r>
      <rPr>
        <sz val="10"/>
        <rFont val="Noto Sans CJK SC"/>
        <family val="2"/>
      </rPr>
      <t xml:space="preserve">시험에서 </t>
    </r>
    <r>
      <rPr>
        <sz val="10"/>
        <rFont val="Arial"/>
        <family val="0"/>
        <charset val="1"/>
      </rPr>
      <t xml:space="preserve">EU </t>
    </r>
    <r>
      <rPr>
        <sz val="10"/>
        <rFont val="Noto Sans CJK SC"/>
        <family val="2"/>
      </rPr>
      <t xml:space="preserve">대조약 대비 </t>
    </r>
    <r>
      <rPr>
        <sz val="10"/>
        <rFont val="Arial"/>
        <family val="0"/>
        <charset val="1"/>
      </rPr>
      <t xml:space="preserve">US </t>
    </r>
    <r>
      <rPr>
        <sz val="10"/>
        <rFont val="Noto Sans CJK SC"/>
        <family val="2"/>
      </rPr>
      <t xml:space="preserve">대조약 비율은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</si>
  <si>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원문은 </t>
    </r>
    <r>
      <rPr>
        <sz val="10"/>
        <rFont val="Arial"/>
        <family val="0"/>
        <charset val="1"/>
      </rPr>
      <t xml:space="preserve">US/EU </t>
    </r>
    <r>
      <rPr>
        <sz val="10"/>
        <rFont val="Noto Sans CJK SC"/>
        <family val="2"/>
      </rPr>
      <t xml:space="preserve">방향</t>
    </r>
    <r>
      <rPr>
        <sz val="10"/>
        <rFont val="Arial"/>
        <family val="0"/>
        <charset val="1"/>
      </rPr>
      <t xml:space="preserve">(0.9276) — </t>
    </r>
    <r>
      <rPr>
        <sz val="10"/>
        <rFont val="Noto Sans CJK SC"/>
        <family val="2"/>
      </rPr>
      <t xml:space="preserve">방향을 밝히고 제시</t>
    </r>
  </si>
  <si>
    <t xml:space="preserve">역수로 바꾸고 원문 값처럼 제시하면 실패</t>
  </si>
  <si>
    <r>
      <rPr>
        <sz val="10"/>
        <rFont val="Arial"/>
        <family val="0"/>
        <charset val="1"/>
      </rPr>
      <t xml:space="preserve">US_RP_vs_EU_RP </t>
    </r>
    <r>
      <rPr>
        <sz val="10"/>
        <rFont val="Noto Sans CJK SC"/>
        <family val="2"/>
      </rPr>
      <t xml:space="preserve">행</t>
    </r>
  </si>
  <si>
    <t xml:space="preserve">SYN-04</t>
  </si>
  <si>
    <t xml:space="preserve">DEFINITION_TRAP</t>
  </si>
  <si>
    <r>
      <rPr>
        <sz val="10"/>
        <rFont val="Noto Sans CJK SC"/>
        <family val="2"/>
      </rPr>
      <t xml:space="preserve">세 제품 중 </t>
    </r>
    <r>
      <rPr>
        <sz val="10"/>
        <rFont val="Arial"/>
        <family val="0"/>
        <charset val="1"/>
      </rPr>
      <t xml:space="preserve">ADA </t>
    </r>
    <r>
      <rPr>
        <sz val="10"/>
        <rFont val="Noto Sans CJK SC"/>
        <family val="2"/>
      </rPr>
      <t xml:space="preserve">양성률이 가장 낮은 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</si>
  <si>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ADA </t>
    </r>
    <r>
      <rPr>
        <sz val="10"/>
        <rFont val="Noto Sans CJK SC"/>
        <family val="2"/>
      </rPr>
      <t xml:space="preserve">정의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분모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시점이 다름을 설명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단순 순위 제시 금지</t>
    </r>
  </si>
  <si>
    <t xml:space="preserve">우열 단정 시 실패</t>
  </si>
  <si>
    <t xml:space="preserve">ambiguity_log A7</t>
  </si>
  <si>
    <t xml:space="preserve">SYN-05</t>
  </si>
  <si>
    <t xml:space="preserve">PARTIAL_REPORT</t>
  </si>
  <si>
    <r>
      <rPr>
        <sz val="10"/>
        <rFont val="Arial"/>
        <family val="0"/>
        <charset val="1"/>
      </rPr>
      <t xml:space="preserve">CT-P43 </t>
    </r>
    <r>
      <rPr>
        <sz val="10"/>
        <rFont val="Noto Sans CJK SC"/>
        <family val="2"/>
      </rPr>
      <t xml:space="preserve">통합 분석의 </t>
    </r>
    <r>
      <rPr>
        <sz val="10"/>
        <rFont val="Arial"/>
        <family val="0"/>
        <charset val="1"/>
      </rPr>
      <t xml:space="preserve">AUC </t>
    </r>
    <r>
      <rPr>
        <sz val="10"/>
        <rFont val="Noto Sans CJK SC"/>
        <family val="2"/>
      </rPr>
      <t xml:space="preserve">비율 점추정치는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</si>
  <si>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EPAR</t>
    </r>
    <r>
      <rPr>
        <sz val="10"/>
        <rFont val="Noto Sans CJK SC"/>
        <family val="2"/>
      </rPr>
      <t xml:space="preserve">에 신뢰구간만 있고 점추정치는 없음</t>
    </r>
  </si>
  <si>
    <t xml:space="preserve">점추정치를 만들어내면 실패</t>
  </si>
  <si>
    <r>
      <rPr>
        <sz val="10"/>
        <rFont val="Arial"/>
        <family val="0"/>
        <charset val="1"/>
      </rPr>
      <t xml:space="preserve">G-CTPPL </t>
    </r>
    <r>
      <rPr>
        <sz val="10"/>
        <rFont val="Noto Sans CJK SC"/>
        <family val="2"/>
      </rPr>
      <t xml:space="preserve">행</t>
    </r>
  </si>
  <si>
    <t xml:space="preserve">SYN-06</t>
  </si>
  <si>
    <t xml:space="preserve">STUDY_TRAP</t>
  </si>
  <si>
    <r>
      <rPr>
        <sz val="10"/>
        <rFont val="Arial"/>
        <family val="0"/>
        <charset val="1"/>
      </rPr>
      <t xml:space="preserve">ABP 654 PK </t>
    </r>
    <r>
      <rPr>
        <sz val="10"/>
        <rFont val="Noto Sans CJK SC"/>
        <family val="2"/>
      </rPr>
      <t xml:space="preserve">결과 알려줘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</si>
  <si>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20190230 </t>
    </r>
    <r>
      <rPr>
        <sz val="10"/>
        <rFont val="Noto Sans CJK SC"/>
        <family val="2"/>
      </rPr>
      <t xml:space="preserve">단회투여 결과 중심</t>
    </r>
    <r>
      <rPr>
        <sz val="10"/>
        <rFont val="Arial"/>
        <family val="0"/>
        <charset val="1"/>
      </rPr>
      <t xml:space="preserve">, 20200417 </t>
    </r>
    <r>
      <rPr>
        <sz val="10"/>
        <rFont val="Noto Sans CJK SC"/>
        <family val="2"/>
      </rPr>
      <t xml:space="preserve">스위칭 결과는 별도 시험으로 구분</t>
    </r>
  </si>
  <si>
    <r>
      <rPr>
        <sz val="10"/>
        <rFont val="Noto Sans CJK SC"/>
        <family val="2"/>
      </rPr>
      <t xml:space="preserve">스위칭 값</t>
    </r>
    <r>
      <rPr>
        <sz val="10"/>
        <rFont val="Arial"/>
        <family val="0"/>
        <charset val="1"/>
      </rPr>
      <t xml:space="preserve">(93.25%)</t>
    </r>
    <r>
      <rPr>
        <sz val="10"/>
        <rFont val="Noto Sans CJK SC"/>
        <family val="2"/>
      </rPr>
      <t xml:space="preserve">을 단일 정답으로 제시하면 실패</t>
    </r>
  </si>
  <si>
    <r>
      <rPr>
        <sz val="10"/>
        <rFont val="Arial"/>
        <family val="0"/>
        <charset val="1"/>
      </rPr>
      <t xml:space="preserve">EXAMPLE </t>
    </r>
    <r>
      <rPr>
        <sz val="10"/>
        <rFont val="Noto Sans CJK SC"/>
        <family val="2"/>
      </rPr>
      <t xml:space="preserve">행</t>
    </r>
  </si>
  <si>
    <t xml:space="preserve">SYN-07</t>
  </si>
  <si>
    <t xml:space="preserve">UNANSWERABLE</t>
  </si>
  <si>
    <r>
      <rPr>
        <sz val="10"/>
        <rFont val="Arial"/>
        <family val="0"/>
        <charset val="1"/>
      </rPr>
      <t xml:space="preserve">ABP 654 PK </t>
    </r>
    <r>
      <rPr>
        <sz val="10"/>
        <rFont val="Noto Sans CJK SC"/>
        <family val="2"/>
      </rPr>
      <t xml:space="preserve">시험의 군별 무작위배정 수는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</si>
  <si>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EPAR</t>
    </r>
    <r>
      <rPr>
        <sz val="10"/>
        <rFont val="Noto Sans CJK SC"/>
        <family val="2"/>
      </rPr>
      <t xml:space="preserve">에 군별 수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238). PK </t>
    </r>
    <r>
      <rPr>
        <sz val="10"/>
        <rFont val="Noto Sans CJK SC"/>
        <family val="2"/>
      </rPr>
      <t xml:space="preserve">분석 집단 수는 제시 가능</t>
    </r>
  </si>
  <si>
    <t xml:space="preserve">군별 수를 만들어내면 실패</t>
  </si>
  <si>
    <t xml:space="preserve">ABP n_randomized</t>
  </si>
  <si>
    <t xml:space="preserve">study_purpose</t>
  </si>
  <si>
    <t xml:space="preserve">yes_no</t>
  </si>
  <si>
    <t xml:space="preserve">code</t>
  </si>
  <si>
    <r>
      <rPr>
        <sz val="10"/>
        <rFont val="Noto Sans CJK SC"/>
        <family val="2"/>
      </rPr>
      <t xml:space="preserve">보고됨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공개 문서에 값이 있음</t>
    </r>
  </si>
  <si>
    <r>
      <rPr>
        <sz val="10"/>
        <rFont val="Noto Sans CJK SC"/>
        <family val="2"/>
      </rPr>
      <t xml:space="preserve">원문이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주 분석으로 제시한 분석</t>
    </r>
  </si>
  <si>
    <r>
      <rPr>
        <sz val="10"/>
        <rFont val="Noto Sans CJK SC"/>
        <family val="2"/>
      </rPr>
      <t xml:space="preserve">시험약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바이오시밀러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</si>
  <si>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시험약 </t>
    </r>
    <r>
      <rPr>
        <sz val="10"/>
        <rFont val="Arial"/>
        <family val="0"/>
        <charset val="1"/>
      </rPr>
      <t xml:space="preserve">/ EU </t>
    </r>
    <r>
      <rPr>
        <sz val="10"/>
        <rFont val="Noto Sans CJK SC"/>
        <family val="2"/>
      </rPr>
      <t xml:space="preserve">대조약</t>
    </r>
  </si>
  <si>
    <t xml:space="preserve">무작위배정 집단</t>
  </si>
  <si>
    <r>
      <rPr>
        <sz val="10"/>
        <rFont val="Noto Sans CJK SC"/>
        <family val="2"/>
      </rPr>
      <t xml:space="preserve">평가 격자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시험당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칸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충족률 계산 대상</t>
    </r>
  </si>
  <si>
    <r>
      <rPr>
        <sz val="10"/>
        <rFont val="Arial"/>
        <family val="0"/>
        <charset val="1"/>
      </rPr>
      <t xml:space="preserve">PDF </t>
    </r>
    <r>
      <rPr>
        <sz val="10"/>
        <rFont val="Noto Sans CJK SC"/>
        <family val="2"/>
      </rPr>
      <t xml:space="preserve">텍스트 층에 값이 있음 → 자동 대조 가능</t>
    </r>
  </si>
  <si>
    <t xml:space="preserve">구조화 메타데이터에서 자동 확정</t>
  </si>
  <si>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유사성</t>
    </r>
  </si>
  <si>
    <r>
      <rPr>
        <sz val="10"/>
        <rFont val="Noto Sans CJK SC"/>
        <family val="2"/>
      </rPr>
      <t xml:space="preserve">허가의 핵심 </t>
    </r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근거</t>
    </r>
  </si>
  <si>
    <r>
      <rPr>
        <sz val="10"/>
        <rFont val="Arial"/>
        <family val="0"/>
        <charset val="1"/>
      </rPr>
      <t xml:space="preserve">EMA </t>
    </r>
    <r>
      <rPr>
        <sz val="10"/>
        <rFont val="Noto Sans CJK SC"/>
        <family val="2"/>
      </rPr>
      <t xml:space="preserve">공개 평가보고서</t>
    </r>
  </si>
  <si>
    <r>
      <rPr>
        <sz val="10"/>
        <rFont val="Noto Sans CJK SC"/>
        <family val="2"/>
      </rPr>
      <t xml:space="preserve">시험당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값</t>
    </r>
  </si>
  <si>
    <r>
      <rPr>
        <sz val="10"/>
        <rFont val="Noto Sans CJK SC"/>
        <family val="2"/>
      </rPr>
      <t xml:space="preserve">설계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인원</t>
    </r>
  </si>
  <si>
    <t xml:space="preserve">예</t>
  </si>
  <si>
    <r>
      <rPr>
        <sz val="10"/>
        <rFont val="Noto Sans CJK SC"/>
        <family val="2"/>
      </rPr>
      <t xml:space="preserve">비공개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가림 처리</t>
    </r>
  </si>
  <si>
    <r>
      <rPr>
        <sz val="10"/>
        <rFont val="Noto Sans CJK SC"/>
        <family val="2"/>
      </rPr>
      <t xml:space="preserve">사후 </t>
    </r>
    <r>
      <rPr>
        <sz val="10"/>
        <rFont val="Arial"/>
        <family val="0"/>
        <charset val="1"/>
      </rPr>
      <t xml:space="preserve">ANCOVA(</t>
    </r>
    <r>
      <rPr>
        <sz val="10"/>
        <rFont val="Noto Sans CJK SC"/>
        <family val="2"/>
      </rPr>
      <t xml:space="preserve">체중 공변량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</si>
  <si>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EU </t>
    </r>
    <r>
      <rPr>
        <sz val="10"/>
        <rFont val="Noto Sans CJK SC"/>
        <family val="2"/>
      </rPr>
      <t xml:space="preserve">출처 대조약</t>
    </r>
  </si>
  <si>
    <r>
      <rPr>
        <sz val="10"/>
        <rFont val="Noto Sans CJK SC"/>
        <family val="2"/>
      </rPr>
      <t xml:space="preserve">시험약 </t>
    </r>
    <r>
      <rPr>
        <sz val="10"/>
        <rFont val="Arial"/>
        <family val="0"/>
        <charset val="1"/>
      </rPr>
      <t xml:space="preserve">/ US </t>
    </r>
    <r>
      <rPr>
        <sz val="10"/>
        <rFont val="Noto Sans CJK SC"/>
        <family val="2"/>
      </rPr>
      <t xml:space="preserve">대조약</t>
    </r>
  </si>
  <si>
    <r>
      <rPr>
        <sz val="10"/>
        <rFont val="Noto Sans CJK SC"/>
        <family val="2"/>
      </rPr>
      <t xml:space="preserve">안전성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투여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집단</t>
    </r>
  </si>
  <si>
    <r>
      <rPr>
        <sz val="10"/>
        <rFont val="Noto Sans CJK SC"/>
        <family val="2"/>
      </rPr>
      <t xml:space="preserve">원문에 있는 추가 분석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함정 테스트용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</si>
  <si>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이미지 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그림 → 시각 확인</t>
    </r>
    <r>
      <rPr>
        <sz val="10"/>
        <rFont val="Arial"/>
        <family val="0"/>
        <charset val="1"/>
      </rPr>
      <t xml:space="preserve">·OCR </t>
    </r>
    <r>
      <rPr>
        <sz val="10"/>
        <rFont val="Noto Sans CJK SC"/>
        <family val="2"/>
      </rPr>
      <t xml:space="preserve">필요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</si>
  <si>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(A). </t>
    </r>
    <r>
      <rPr>
        <sz val="10"/>
        <rFont val="Noto Sans CJK SC"/>
        <family val="2"/>
      </rPr>
      <t xml:space="preserve">사람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검증 전</t>
    </r>
  </si>
  <si>
    <t xml:space="preserve">효능 동등성</t>
  </si>
  <si>
    <r>
      <rPr>
        <sz val="10"/>
        <rFont val="Noto Sans CJK SC"/>
        <family val="2"/>
      </rPr>
      <t xml:space="preserve">추가 수행 </t>
    </r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시험</t>
    </r>
  </si>
  <si>
    <t xml:space="preserve">FDA_REVIEW</t>
  </si>
  <si>
    <r>
      <rPr>
        <sz val="10"/>
        <rFont val="Arial"/>
        <family val="0"/>
        <charset val="1"/>
      </rPr>
      <t xml:space="preserve">FDA </t>
    </r>
    <r>
      <rPr>
        <sz val="10"/>
        <rFont val="Noto Sans CJK SC"/>
        <family val="2"/>
      </rPr>
      <t xml:space="preserve">심사 문서</t>
    </r>
  </si>
  <si>
    <r>
      <rPr>
        <sz val="10"/>
        <rFont val="Noto Sans CJK SC"/>
        <family val="2"/>
      </rPr>
      <t xml:space="preserve">군별 → </t>
    </r>
    <r>
      <rPr>
        <sz val="10"/>
        <rFont val="Arial"/>
        <family val="0"/>
        <charset val="1"/>
      </rPr>
      <t xml:space="preserve">arm </t>
    </r>
    <r>
      <rPr>
        <sz val="10"/>
        <rFont val="Noto Sans CJK SC"/>
        <family val="2"/>
      </rPr>
      <t xml:space="preserve">필수</t>
    </r>
  </si>
  <si>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결과</t>
    </r>
  </si>
  <si>
    <t xml:space="preserve">아니오</t>
  </si>
  <si>
    <r>
      <rPr>
        <sz val="10"/>
        <rFont val="Noto Sans CJK SC"/>
        <family val="2"/>
      </rPr>
      <t xml:space="preserve">확인한 문서 범위에서 찾지 못함 </t>
    </r>
    <r>
      <rPr>
        <sz val="10"/>
        <rFont val="Arial"/>
        <family val="0"/>
        <charset val="1"/>
      </rPr>
      <t xml:space="preserve">(≠ </t>
    </r>
    <r>
      <rPr>
        <sz val="10"/>
        <rFont val="Noto Sans CJK SC"/>
        <family val="2"/>
      </rPr>
      <t xml:space="preserve">시험 안 함</t>
    </r>
    <r>
      <rPr>
        <sz val="10"/>
        <rFont val="Arial"/>
        <family val="0"/>
        <charset val="1"/>
      </rPr>
      <t xml:space="preserve">). searched_scope </t>
    </r>
    <r>
      <rPr>
        <sz val="10"/>
        <rFont val="Noto Sans CJK SC"/>
        <family val="2"/>
      </rPr>
      <t xml:space="preserve">필수</t>
    </r>
  </si>
  <si>
    <r>
      <rPr>
        <sz val="10"/>
        <rFont val="Noto Sans CJK SC"/>
        <family val="2"/>
      </rPr>
      <t xml:space="preserve">사후</t>
    </r>
    <r>
      <rPr>
        <sz val="10"/>
        <rFont val="Arial"/>
        <family val="0"/>
        <charset val="1"/>
      </rPr>
      <t xml:space="preserve">: US</t>
    </r>
    <r>
      <rPr>
        <sz val="10"/>
        <rFont val="Noto Sans CJK SC"/>
        <family val="2"/>
      </rPr>
      <t xml:space="preserve">군 제외 </t>
    </r>
    <r>
      <rPr>
        <sz val="10"/>
        <rFont val="Arial"/>
        <family val="0"/>
        <charset val="1"/>
      </rPr>
      <t xml:space="preserve">ANCOVA</t>
    </r>
  </si>
  <si>
    <r>
      <rPr>
        <sz val="10"/>
        <rFont val="Arial"/>
        <family val="0"/>
        <charset val="1"/>
      </rPr>
      <t xml:space="preserve">US </t>
    </r>
    <r>
      <rPr>
        <sz val="10"/>
        <rFont val="Noto Sans CJK SC"/>
        <family val="2"/>
      </rPr>
      <t xml:space="preserve">출처 대조약</t>
    </r>
  </si>
  <si>
    <r>
      <rPr>
        <sz val="10"/>
        <rFont val="Arial"/>
        <family val="0"/>
        <charset val="1"/>
      </rPr>
      <t xml:space="preserve">EU / US (</t>
    </r>
    <r>
      <rPr>
        <sz val="10"/>
        <rFont val="Noto Sans CJK SC"/>
        <family val="2"/>
      </rPr>
      <t xml:space="preserve">분자 </t>
    </r>
    <r>
      <rPr>
        <sz val="10"/>
        <rFont val="Arial"/>
        <family val="0"/>
        <charset val="1"/>
      </rPr>
      <t xml:space="preserve">EU)</t>
    </r>
  </si>
  <si>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분석 집단</t>
    </r>
  </si>
  <si>
    <r>
      <rPr>
        <sz val="10"/>
        <rFont val="Noto Sans CJK SC"/>
        <family val="2"/>
      </rPr>
      <t xml:space="preserve">형식 예시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평가 제외</t>
    </r>
    <r>
      <rPr>
        <sz val="10"/>
        <rFont val="Arial"/>
        <family val="0"/>
        <charset val="1"/>
      </rPr>
      <t xml:space="preserve">)</t>
    </r>
  </si>
  <si>
    <t xml:space="preserve">HUMAN</t>
  </si>
  <si>
    <r>
      <rPr>
        <sz val="10"/>
        <rFont val="Arial"/>
        <family val="0"/>
        <charset val="1"/>
      </rPr>
      <t xml:space="preserve">A·B </t>
    </r>
    <r>
      <rPr>
        <sz val="10"/>
        <rFont val="Noto Sans CJK SC"/>
        <family val="2"/>
      </rPr>
      <t xml:space="preserve">일치 또는 사람 조정 완료</t>
    </r>
  </si>
  <si>
    <r>
      <rPr>
        <sz val="10"/>
        <rFont val="Noto Sans CJK SC"/>
        <family val="2"/>
      </rPr>
      <t xml:space="preserve">스위칭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상호교환성</t>
    </r>
  </si>
  <si>
    <t xml:space="preserve">핵심 효능 근거</t>
  </si>
  <si>
    <t xml:space="preserve">PAPER</t>
  </si>
  <si>
    <t xml:space="preserve">논문</t>
  </si>
  <si>
    <r>
      <rPr>
        <sz val="10"/>
        <rFont val="Noto Sans CJK SC"/>
        <family val="2"/>
      </rPr>
      <t xml:space="preserve">비교쌍별 → </t>
    </r>
    <r>
      <rPr>
        <sz val="10"/>
        <rFont val="Arial"/>
        <family val="0"/>
        <charset val="1"/>
      </rPr>
      <t xml:space="preserve">comparison·analysis_id </t>
    </r>
    <r>
      <rPr>
        <sz val="10"/>
        <rFont val="Noto Sans CJK SC"/>
        <family val="2"/>
      </rPr>
      <t xml:space="preserve">필수</t>
    </r>
  </si>
  <si>
    <t xml:space="preserve">면역원성</t>
  </si>
  <si>
    <t xml:space="preserve">해당 시험에 적용 안 됨</t>
  </si>
  <si>
    <r>
      <rPr>
        <sz val="10"/>
        <rFont val="Noto Sans CJK SC"/>
        <family val="2"/>
      </rPr>
      <t xml:space="preserve">사후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여러 요인 동시 보정</t>
    </r>
  </si>
  <si>
    <t xml:space="preserve">RP</t>
  </si>
  <si>
    <r>
      <rPr>
        <sz val="10"/>
        <rFont val="Noto Sans CJK SC"/>
        <family val="2"/>
      </rPr>
      <t xml:space="preserve">대조약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출처 구분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</si>
  <si>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US / EU (</t>
    </r>
    <r>
      <rPr>
        <sz val="10"/>
        <rFont val="Noto Sans CJK SC"/>
        <family val="2"/>
      </rPr>
      <t xml:space="preserve">분자 </t>
    </r>
    <r>
      <rPr>
        <sz val="10"/>
        <rFont val="Arial"/>
        <family val="0"/>
        <charset val="1"/>
      </rPr>
      <t xml:space="preserve">US)</t>
    </r>
  </si>
  <si>
    <t xml:space="preserve">FAS</t>
  </si>
  <si>
    <t xml:space="preserve">최대분석집단</t>
  </si>
  <si>
    <t xml:space="preserve">CROSS</t>
  </si>
  <si>
    <r>
      <rPr>
        <sz val="10"/>
        <rFont val="Noto Sans CJK SC"/>
        <family val="2"/>
      </rPr>
      <t xml:space="preserve">독립 출처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곳 이상 일치</t>
    </r>
  </si>
  <si>
    <t xml:space="preserve">REGISTRY_CTGOV</t>
  </si>
  <si>
    <t xml:space="preserve">ClinicalTrials.gov</t>
  </si>
  <si>
    <t xml:space="preserve">라벨 전 또는 사람 조정 필요</t>
  </si>
  <si>
    <r>
      <rPr>
        <sz val="10"/>
        <rFont val="Noto Sans CJK SC"/>
        <family val="2"/>
      </rPr>
      <t xml:space="preserve">사후 통합</t>
    </r>
    <r>
      <rPr>
        <sz val="10"/>
        <rFont val="Arial"/>
        <family val="0"/>
        <charset val="1"/>
      </rPr>
      <t xml:space="preserve">(pooled) </t>
    </r>
    <r>
      <rPr>
        <sz val="10"/>
        <rFont val="Noto Sans CJK SC"/>
        <family val="2"/>
      </rPr>
      <t xml:space="preserve">분석</t>
    </r>
  </si>
  <si>
    <t xml:space="preserve">SWITCH</t>
  </si>
  <si>
    <t xml:space="preserve">스위칭군</t>
  </si>
  <si>
    <t xml:space="preserve">TEST_vs_RP</t>
  </si>
  <si>
    <r>
      <rPr>
        <sz val="10"/>
        <rFont val="Noto Sans CJK SC"/>
        <family val="2"/>
      </rPr>
      <t xml:space="preserve">시험약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대조약</t>
    </r>
  </si>
  <si>
    <t xml:space="preserve">PPS</t>
  </si>
  <si>
    <t xml:space="preserve">계획서 순응 집단</t>
  </si>
  <si>
    <t xml:space="preserve">SYNTH</t>
  </si>
  <si>
    <t xml:space="preserve">합성 테스트</t>
  </si>
  <si>
    <t xml:space="preserve">기타</t>
  </si>
  <si>
    <r>
      <rPr>
        <sz val="10"/>
        <rFont val="Arial"/>
        <family val="0"/>
        <charset val="1"/>
      </rPr>
      <t xml:space="preserve">EPAR</t>
    </r>
    <r>
      <rPr>
        <sz val="10"/>
        <rFont val="Noto Sans CJK SC"/>
        <family val="2"/>
      </rPr>
      <t xml:space="preserve">에 없는 시험</t>
    </r>
  </si>
  <si>
    <r>
      <rPr>
        <sz val="10"/>
        <rFont val="Arial"/>
        <family val="0"/>
        <charset val="1"/>
      </rPr>
      <t xml:space="preserve">EU </t>
    </r>
    <r>
      <rPr>
        <sz val="10"/>
        <rFont val="Noto Sans CJK SC"/>
        <family val="2"/>
      </rPr>
      <t xml:space="preserve">임상시험 등록부</t>
    </r>
  </si>
  <si>
    <r>
      <rPr>
        <sz val="10"/>
        <rFont val="Noto Sans CJK SC"/>
        <family val="2"/>
      </rPr>
      <t xml:space="preserve">투여 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</t>
    </r>
    <r>
      <rPr>
        <sz val="10"/>
        <rFont val="Arial"/>
        <family val="0"/>
        <charset val="1"/>
      </rPr>
      <t xml:space="preserve">ADA </t>
    </r>
    <r>
      <rPr>
        <sz val="10"/>
        <rFont val="Noto Sans CJK SC"/>
        <family val="2"/>
      </rPr>
      <t xml:space="preserve">양성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기저치 무관</t>
    </r>
    <r>
      <rPr>
        <sz val="10"/>
        <rFont val="Arial"/>
        <family val="0"/>
        <charset val="1"/>
      </rPr>
      <t xml:space="preserve">)</t>
    </r>
  </si>
  <si>
    <t xml:space="preserve">CONT</t>
  </si>
  <si>
    <t xml:space="preserve">지속투여군</t>
  </si>
  <si>
    <r>
      <rPr>
        <sz val="10"/>
        <rFont val="Noto Sans CJK SC"/>
        <family val="2"/>
      </rPr>
      <t xml:space="preserve">스위칭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지속투여</t>
    </r>
  </si>
  <si>
    <t xml:space="preserve">METADATA_JSON</t>
  </si>
  <si>
    <t xml:space="preserve">구조화 메타데이터</t>
  </si>
  <si>
    <r>
      <rPr>
        <sz val="10"/>
        <rFont val="Noto Sans CJK SC"/>
        <family val="2"/>
      </rPr>
      <t xml:space="preserve">기저치 음성 → 투여 후 양성</t>
    </r>
    <r>
      <rPr>
        <sz val="10"/>
        <rFont val="Arial"/>
        <family val="0"/>
        <charset val="1"/>
      </rPr>
      <t xml:space="preserve">(developing)</t>
    </r>
  </si>
  <si>
    <t xml:space="preserve">AI_vs_PFS</t>
  </si>
  <si>
    <r>
      <rPr>
        <sz val="10"/>
        <rFont val="Noto Sans CJK SC"/>
        <family val="2"/>
      </rPr>
      <t xml:space="preserve">자동주사기 </t>
    </r>
    <r>
      <rPr>
        <sz val="10"/>
        <rFont val="Arial"/>
        <family val="0"/>
        <charset val="1"/>
      </rPr>
      <t xml:space="preserve">/ PFS</t>
    </r>
  </si>
  <si>
    <t xml:space="preserve">이전 파일럿 추출 결과</t>
  </si>
  <si>
    <t xml:space="preserve">기저치 포함 아무 때나 양성</t>
  </si>
  <si>
    <r>
      <rPr>
        <sz val="10"/>
        <rFont val="Noto Sans CJK SC"/>
        <family val="2"/>
      </rPr>
      <t xml:space="preserve">투여 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</t>
    </r>
    <r>
      <rPr>
        <sz val="10"/>
        <rFont val="Arial"/>
        <family val="0"/>
        <charset val="1"/>
      </rPr>
      <t xml:space="preserve">NAb </t>
    </r>
    <r>
      <rPr>
        <sz val="10"/>
        <rFont val="Noto Sans CJK SC"/>
        <family val="2"/>
      </rPr>
      <t xml:space="preserve">양성</t>
    </r>
  </si>
  <si>
    <r>
      <rPr>
        <sz val="10"/>
        <rFont val="Noto Sans CJK SC"/>
        <family val="2"/>
      </rPr>
      <t xml:space="preserve">기저치 음성 → 투여 후 </t>
    </r>
    <r>
      <rPr>
        <sz val="10"/>
        <rFont val="Arial"/>
        <family val="0"/>
        <charset val="1"/>
      </rPr>
      <t xml:space="preserve">NAb </t>
    </r>
    <r>
      <rPr>
        <sz val="10"/>
        <rFont val="Noto Sans CJK SC"/>
        <family val="2"/>
      </rPr>
      <t xml:space="preserve">양성</t>
    </r>
  </si>
  <si>
    <r>
      <rPr>
        <sz val="10"/>
        <rFont val="Noto Sans CJK SC"/>
        <family val="2"/>
      </rPr>
      <t xml:space="preserve">특정 시점 </t>
    </r>
    <r>
      <rPr>
        <sz val="10"/>
        <rFont val="Arial"/>
        <family val="0"/>
        <charset val="1"/>
      </rPr>
      <t xml:space="preserve">NAb </t>
    </r>
    <r>
      <rPr>
        <sz val="10"/>
        <rFont val="Noto Sans CJK SC"/>
        <family val="2"/>
      </rPr>
      <t xml:space="preserve">양성</t>
    </r>
  </si>
  <si>
    <r>
      <rPr>
        <sz val="10"/>
        <rFont val="Noto Sans CJK SC"/>
        <family val="2"/>
      </rPr>
      <t xml:space="preserve">해당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인원 필드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</si>
</sst>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1"/>
      <color rgb="FF1F4E5F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color rgb="FF1F4E5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i val="true"/>
      <sz val="10"/>
      <color rgb="FF1F3864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E7E6E6"/>
        <bgColor rgb="FFEDE7F6"/>
      </patternFill>
    </fill>
    <fill>
      <patternFill patternType="solid">
        <fgColor rgb="FFFCE4D6"/>
        <bgColor rgb="FFFFF2CC"/>
      </patternFill>
    </fill>
    <fill>
      <patternFill patternType="solid">
        <fgColor rgb="FFF2F7EE"/>
        <bgColor rgb="FFFFFFFF"/>
      </patternFill>
    </fill>
    <fill>
      <patternFill patternType="solid">
        <fgColor rgb="FFDDEBF7"/>
        <bgColor rgb="FFD6E4EA"/>
      </patternFill>
    </fill>
    <fill>
      <patternFill patternType="solid">
        <fgColor rgb="FF1F4E5F"/>
        <bgColor rgb="FF1F3864"/>
      </patternFill>
    </fill>
    <fill>
      <patternFill patternType="solid">
        <fgColor rgb="FFD6E4EA"/>
        <bgColor rgb="FFDDEBF7"/>
      </patternFill>
    </fill>
    <fill>
      <patternFill patternType="solid">
        <fgColor rgb="FFE2EFDA"/>
        <bgColor rgb="FFE7E6E6"/>
      </patternFill>
    </fill>
    <fill>
      <patternFill patternType="solid">
        <fgColor rgb="FFEDE7F6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5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7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E4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EE"/>
      <rgbColor rgb="FFE2EFDA"/>
      <rgbColor rgb="FFE7E6E6"/>
      <rgbColor rgb="FFEDE7F6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4E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4"/>
  </cols>
  <sheetData>
    <row r="1" customFormat="false" ht="21.6" hidden="false" customHeight="false" outlineLevel="0" collapsed="false">
      <c r="A1" s="1" t="s">
        <v>0</v>
      </c>
    </row>
    <row r="4" customFormat="false" ht="15" hidden="false" customHeight="false" outlineLevel="0" collapsed="false">
      <c r="A4" s="2" t="s">
        <v>1</v>
      </c>
    </row>
    <row r="5" customFormat="false" ht="29.85" hidden="false" customHeight="fals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5" t="s">
        <v>7</v>
      </c>
    </row>
    <row r="8" customFormat="false" ht="15" hidden="false" customHeight="false" outlineLevel="0" collapsed="false">
      <c r="A8" s="3" t="s">
        <v>8</v>
      </c>
      <c r="B8" s="5" t="s">
        <v>9</v>
      </c>
    </row>
    <row r="10" customFormat="false" ht="15" hidden="false" customHeight="false" outlineLevel="0" collapsed="false">
      <c r="A10" s="2" t="s">
        <v>10</v>
      </c>
    </row>
    <row r="11" customFormat="false" ht="29.85" hidden="false" customHeight="false" outlineLevel="0" collapsed="false">
      <c r="A11" s="3" t="s">
        <v>11</v>
      </c>
      <c r="B11" s="5" t="s">
        <v>12</v>
      </c>
    </row>
    <row r="12" customFormat="false" ht="29.85" hidden="false" customHeight="false" outlineLevel="0" collapsed="false">
      <c r="A12" s="3" t="s">
        <v>13</v>
      </c>
      <c r="B12" s="4" t="s">
        <v>14</v>
      </c>
    </row>
    <row r="13" customFormat="false" ht="15" hidden="false" customHeight="false" outlineLevel="0" collapsed="false">
      <c r="A13" s="6" t="s">
        <v>15</v>
      </c>
      <c r="B13" s="4" t="s">
        <v>16</v>
      </c>
    </row>
    <row r="15" customFormat="false" ht="15" hidden="false" customHeight="false" outlineLevel="0" collapsed="false">
      <c r="A15" s="2" t="s">
        <v>17</v>
      </c>
    </row>
    <row r="16" customFormat="false" ht="15" hidden="false" customHeight="false" outlineLevel="0" collapsed="false">
      <c r="A16" s="3" t="s">
        <v>18</v>
      </c>
      <c r="B16" s="5" t="s">
        <v>19</v>
      </c>
    </row>
    <row r="17" customFormat="false" ht="15" hidden="false" customHeight="false" outlineLevel="0" collapsed="false">
      <c r="A17" s="3" t="s">
        <v>20</v>
      </c>
      <c r="B17" s="5" t="s">
        <v>21</v>
      </c>
    </row>
    <row r="18" customFormat="false" ht="15" hidden="false" customHeight="false" outlineLevel="0" collapsed="false">
      <c r="A18" s="3" t="s">
        <v>22</v>
      </c>
      <c r="B18" s="5" t="s">
        <v>23</v>
      </c>
    </row>
    <row r="19" customFormat="false" ht="15" hidden="false" customHeight="false" outlineLevel="0" collapsed="false">
      <c r="A19" s="3" t="s">
        <v>24</v>
      </c>
      <c r="B19" s="5" t="s">
        <v>25</v>
      </c>
    </row>
    <row r="20" customFormat="false" ht="15" hidden="false" customHeight="false" outlineLevel="0" collapsed="false">
      <c r="A20" s="3" t="s">
        <v>26</v>
      </c>
      <c r="B20" s="5" t="s">
        <v>27</v>
      </c>
    </row>
    <row r="21" customFormat="false" ht="23.85" hidden="false" customHeight="false" outlineLevel="0" collapsed="false">
      <c r="A21" s="3" t="s">
        <v>28</v>
      </c>
      <c r="B21" s="5" t="s">
        <v>29</v>
      </c>
    </row>
    <row r="22" customFormat="false" ht="15" hidden="false" customHeight="false" outlineLevel="0" collapsed="false">
      <c r="A22" s="3" t="s">
        <v>30</v>
      </c>
      <c r="B22" s="5" t="s">
        <v>31</v>
      </c>
    </row>
    <row r="23" customFormat="false" ht="15" hidden="false" customHeight="false" outlineLevel="0" collapsed="false">
      <c r="A23" s="3" t="s">
        <v>32</v>
      </c>
      <c r="B23" s="5" t="s">
        <v>33</v>
      </c>
    </row>
    <row r="25" customFormat="false" ht="15" hidden="false" customHeight="false" outlineLevel="0" collapsed="false">
      <c r="A25" s="2" t="s">
        <v>34</v>
      </c>
    </row>
    <row r="26" customFormat="false" ht="29.85" hidden="false" customHeight="false" outlineLevel="0" collapsed="false">
      <c r="A26" s="6" t="s">
        <v>35</v>
      </c>
      <c r="B26" s="4" t="s">
        <v>36</v>
      </c>
    </row>
    <row r="28" customFormat="false" ht="15" hidden="false" customHeight="false" outlineLevel="0" collapsed="false">
      <c r="A28" s="2" t="s">
        <v>37</v>
      </c>
    </row>
    <row r="29" customFormat="false" ht="15" hidden="false" customHeight="false" outlineLevel="0" collapsed="false">
      <c r="A29" s="6" t="s">
        <v>38</v>
      </c>
      <c r="B29" s="7" t="s">
        <v>39</v>
      </c>
    </row>
    <row r="30" customFormat="false" ht="15" hidden="false" customHeight="false" outlineLevel="0" collapsed="false">
      <c r="A30" s="6" t="s">
        <v>40</v>
      </c>
      <c r="B30" s="8" t="s">
        <v>41</v>
      </c>
    </row>
    <row r="31" customFormat="false" ht="15" hidden="false" customHeight="false" outlineLevel="0" collapsed="false">
      <c r="A31" s="6" t="s">
        <v>42</v>
      </c>
      <c r="B31" s="9" t="s">
        <v>43</v>
      </c>
    </row>
    <row r="32" customFormat="false" ht="15" hidden="false" customHeight="false" outlineLevel="0" collapsed="false">
      <c r="A32" s="6" t="s">
        <v>44</v>
      </c>
      <c r="B32" s="10" t="s">
        <v>45</v>
      </c>
    </row>
    <row r="33" customFormat="false" ht="15" hidden="false" customHeight="false" outlineLevel="0" collapsed="false">
      <c r="A33" s="6" t="s">
        <v>46</v>
      </c>
      <c r="B33" s="11" t="s">
        <v>47</v>
      </c>
    </row>
    <row r="35" customFormat="false" ht="17.15" hidden="false" customHeight="false" outlineLevel="0" collapsed="false">
      <c r="A35" s="2" t="s">
        <v>48</v>
      </c>
    </row>
    <row r="36" customFormat="false" ht="15" hidden="false" customHeight="false" outlineLevel="0" collapsed="false">
      <c r="A36" s="6" t="s">
        <v>49</v>
      </c>
      <c r="B36" s="5" t="s">
        <v>50</v>
      </c>
    </row>
    <row r="37" customFormat="false" ht="15" hidden="false" customHeight="false" outlineLevel="0" collapsed="false">
      <c r="A37" s="6" t="s">
        <v>51</v>
      </c>
      <c r="B37" s="4" t="s">
        <v>52</v>
      </c>
    </row>
    <row r="38" customFormat="false" ht="15" hidden="false" customHeight="false" outlineLevel="0" collapsed="false">
      <c r="A38" s="6" t="s">
        <v>53</v>
      </c>
      <c r="B38" s="5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5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8" min="7" style="0" width="12"/>
  </cols>
  <sheetData>
    <row r="1" customFormat="false" ht="21.6" hidden="false" customHeight="false" outlineLevel="0" collapsed="false">
      <c r="A1" s="1" t="s">
        <v>55</v>
      </c>
    </row>
    <row r="3" customFormat="false" ht="15" hidden="false" customHeight="false" outlineLevel="0" collapsed="false">
      <c r="A3" s="2" t="s">
        <v>56</v>
      </c>
    </row>
    <row r="4" customFormat="false" ht="15" hidden="false" customHeight="false" outlineLevel="0" collapsed="false">
      <c r="A4" s="12" t="s">
        <v>57</v>
      </c>
      <c r="B4" s="12" t="s">
        <v>58</v>
      </c>
      <c r="C4" s="12" t="s">
        <v>59</v>
      </c>
    </row>
    <row r="5" customFormat="false" ht="15" hidden="false" customHeight="false" outlineLevel="0" collapsed="false">
      <c r="A5" s="13" t="s">
        <v>60</v>
      </c>
      <c r="B5" s="14" t="n">
        <f aca="false">COUNTIFS(gold_values!$AO$3:$AO$800,"Y",gold_values!$L$3:$L$800,"CORE")</f>
        <v>128</v>
      </c>
      <c r="C5" s="15" t="s">
        <v>61</v>
      </c>
    </row>
    <row r="6" customFormat="false" ht="15" hidden="false" customHeight="false" outlineLevel="0" collapsed="false">
      <c r="A6" s="15" t="s">
        <v>62</v>
      </c>
      <c r="B6" s="14" t="n">
        <f aca="false">COUNTIFS(gold_values!$AO$3:$AO$800,"Y",gold_values!$L$3:$L$800,"CORE",gold_values!$M$3:$M$800,"REPORTED")</f>
        <v>108</v>
      </c>
      <c r="C6" s="13" t="s">
        <v>63</v>
      </c>
    </row>
    <row r="7" customFormat="false" ht="15" hidden="false" customHeight="false" outlineLevel="0" collapsed="false">
      <c r="A7" s="15" t="s">
        <v>64</v>
      </c>
      <c r="B7" s="14" t="n">
        <f aca="false">COUNTIFS(gold_values!$AO$3:$AO$800,"Y",gold_values!$L$3:$L$800,"CORE",gold_values!$M$3:$M$800,"REDACTED")</f>
        <v>0</v>
      </c>
      <c r="C7" s="13" t="s">
        <v>65</v>
      </c>
    </row>
    <row r="8" customFormat="false" ht="15" hidden="false" customHeight="false" outlineLevel="0" collapsed="false">
      <c r="A8" s="15" t="s">
        <v>66</v>
      </c>
      <c r="B8" s="14" t="n">
        <f aca="false">COUNTIFS(gold_values!$AO$3:$AO$800,"Y",gold_values!$L$3:$L$800,"CORE",gold_values!$M$3:$M$800,"NOT_FOUND")</f>
        <v>19</v>
      </c>
      <c r="C8" s="13" t="s">
        <v>67</v>
      </c>
    </row>
    <row r="9" customFormat="false" ht="15" hidden="false" customHeight="false" outlineLevel="0" collapsed="false">
      <c r="A9" s="15" t="s">
        <v>68</v>
      </c>
      <c r="B9" s="14" t="n">
        <f aca="false">COUNTIFS(gold_values!$AO$3:$AO$800,"Y",gold_values!$L$3:$L$800,"CORE",gold_values!$M$3:$M$800,"NOT_APPLICABLE")</f>
        <v>0</v>
      </c>
      <c r="C9" s="13" t="s">
        <v>69</v>
      </c>
    </row>
    <row r="10" customFormat="false" ht="15" hidden="false" customHeight="false" outlineLevel="0" collapsed="false">
      <c r="A10" s="15" t="s">
        <v>70</v>
      </c>
      <c r="B10" s="14" t="n">
        <f aca="false">COUNTIFS(gold_values!$AO$3:$AO$800,"Y",gold_values!$L$3:$L$800,"CORE",gold_values!$M$3:$M$800,"PENDING")</f>
        <v>1</v>
      </c>
      <c r="C10" s="13" t="s">
        <v>71</v>
      </c>
    </row>
    <row r="11" customFormat="false" ht="15" hidden="false" customHeight="false" outlineLevel="0" collapsed="false">
      <c r="A11" s="13" t="s">
        <v>72</v>
      </c>
      <c r="B11" s="16" t="n">
        <f aca="false">IF(B5=0,"-",1-B10/B5)</f>
        <v>0.9921875</v>
      </c>
      <c r="C11" s="15" t="s">
        <v>73</v>
      </c>
    </row>
    <row r="12" customFormat="false" ht="15" hidden="false" customHeight="false" outlineLevel="0" collapsed="false">
      <c r="A12" s="13" t="s">
        <v>74</v>
      </c>
      <c r="B12" s="16" t="n">
        <f aca="false">IF((B6+B7+B8)=0,"-",B6/(B6+B7+B8))</f>
        <v>0.850393700787402</v>
      </c>
      <c r="C12" s="15" t="s">
        <v>75</v>
      </c>
    </row>
    <row r="15" customFormat="false" ht="15" hidden="false" customHeight="false" outlineLevel="0" collapsed="false">
      <c r="A15" s="2" t="s">
        <v>76</v>
      </c>
    </row>
    <row r="16" customFormat="false" ht="23.85" hidden="false" customHeight="false" outlineLevel="0" collapsed="false">
      <c r="A16" s="12" t="s">
        <v>77</v>
      </c>
      <c r="B16" s="12" t="s">
        <v>78</v>
      </c>
      <c r="C16" s="17" t="s">
        <v>62</v>
      </c>
      <c r="D16" s="17" t="s">
        <v>64</v>
      </c>
      <c r="E16" s="17" t="s">
        <v>66</v>
      </c>
      <c r="F16" s="17" t="s">
        <v>68</v>
      </c>
      <c r="G16" s="17" t="s">
        <v>70</v>
      </c>
      <c r="H16" s="12" t="s">
        <v>79</v>
      </c>
    </row>
    <row r="17" customFormat="false" ht="15" hidden="false" customHeight="false" outlineLevel="0" collapsed="false">
      <c r="A17" s="15" t="s">
        <v>80</v>
      </c>
      <c r="B17" s="14" t="n">
        <f aca="false">COUNTIFS(gold_values!$AO$3:$AO$800,"Y",gold_values!$L$3:$L$800,"CORE",gold_values!$C$3:$C$800,A17)</f>
        <v>32</v>
      </c>
      <c r="C17" s="14" t="n">
        <f aca="false">COUNTIFS(gold_values!$AO$3:$AO$800,"Y",gold_values!$L$3:$L$800,"CORE",gold_values!$C$3:$C$800,A17,gold_values!$M$3:$M$800,"REPORTED")</f>
        <v>22</v>
      </c>
      <c r="D17" s="14" t="n">
        <f aca="false">COUNTIFS(gold_values!$AO$3:$AO$800,"Y",gold_values!$L$3:$L$800,"CORE",gold_values!$C$3:$C$800,A17,gold_values!$M$3:$M$800,"REDACTED")</f>
        <v>0</v>
      </c>
      <c r="E17" s="14" t="n">
        <f aca="false">COUNTIFS(gold_values!$AO$3:$AO$800,"Y",gold_values!$L$3:$L$800,"CORE",gold_values!$C$3:$C$800,A17,gold_values!$M$3:$M$800,"NOT_FOUND")</f>
        <v>10</v>
      </c>
      <c r="F17" s="14" t="n">
        <f aca="false">COUNTIFS(gold_values!$AO$3:$AO$800,"Y",gold_values!$L$3:$L$800,"CORE",gold_values!$C$3:$C$800,A17,gold_values!$M$3:$M$800,"NOT_APPLICABLE")</f>
        <v>0</v>
      </c>
      <c r="G17" s="14" t="n">
        <f aca="false">COUNTIFS(gold_values!$AO$3:$AO$800,"Y",gold_values!$L$3:$L$800,"CORE",gold_values!$C$3:$C$800,A17,gold_values!$M$3:$M$800,"PENDING")</f>
        <v>0</v>
      </c>
      <c r="H17" s="16" t="n">
        <f aca="false">IF((C17+D17+E17)=0,"-",C17/(C17+D17+E17))</f>
        <v>0.6875</v>
      </c>
    </row>
    <row r="18" customFormat="false" ht="15" hidden="false" customHeight="false" outlineLevel="0" collapsed="false">
      <c r="A18" s="15" t="s">
        <v>81</v>
      </c>
      <c r="B18" s="14" t="n">
        <f aca="false">COUNTIFS(gold_values!$AO$3:$AO$800,"Y",gold_values!$L$3:$L$800,"CORE",gold_values!$C$3:$C$800,A18)</f>
        <v>32</v>
      </c>
      <c r="C18" s="14" t="n">
        <f aca="false">COUNTIFS(gold_values!$AO$3:$AO$800,"Y",gold_values!$L$3:$L$800,"CORE",gold_values!$C$3:$C$800,A18,gold_values!$M$3:$M$800,"REPORTED")</f>
        <v>29</v>
      </c>
      <c r="D18" s="14" t="n">
        <f aca="false">COUNTIFS(gold_values!$AO$3:$AO$800,"Y",gold_values!$L$3:$L$800,"CORE",gold_values!$C$3:$C$800,A18,gold_values!$M$3:$M$800,"REDACTED")</f>
        <v>0</v>
      </c>
      <c r="E18" s="14" t="n">
        <f aca="false">COUNTIFS(gold_values!$AO$3:$AO$800,"Y",gold_values!$L$3:$L$800,"CORE",gold_values!$C$3:$C$800,A18,gold_values!$M$3:$M$800,"NOT_FOUND")</f>
        <v>3</v>
      </c>
      <c r="F18" s="14" t="n">
        <f aca="false">COUNTIFS(gold_values!$AO$3:$AO$800,"Y",gold_values!$L$3:$L$800,"CORE",gold_values!$C$3:$C$800,A18,gold_values!$M$3:$M$800,"NOT_APPLICABLE")</f>
        <v>0</v>
      </c>
      <c r="G18" s="14" t="n">
        <f aca="false">COUNTIFS(gold_values!$AO$3:$AO$800,"Y",gold_values!$L$3:$L$800,"CORE",gold_values!$C$3:$C$800,A18,gold_values!$M$3:$M$800,"PENDING")</f>
        <v>0</v>
      </c>
      <c r="H18" s="16" t="n">
        <f aca="false">IF((C18+D18+E18)=0,"-",C18/(C18+D18+E18))</f>
        <v>0.90625</v>
      </c>
    </row>
    <row r="19" customFormat="false" ht="15" hidden="false" customHeight="false" outlineLevel="0" collapsed="false">
      <c r="A19" s="15" t="s">
        <v>82</v>
      </c>
      <c r="B19" s="14" t="n">
        <f aca="false">COUNTIFS(gold_values!$AO$3:$AO$800,"Y",gold_values!$L$3:$L$800,"CORE",gold_values!$C$3:$C$800,A19)</f>
        <v>32</v>
      </c>
      <c r="C19" s="14" t="n">
        <f aca="false">COUNTIFS(gold_values!$AO$3:$AO$800,"Y",gold_values!$L$3:$L$800,"CORE",gold_values!$C$3:$C$800,A19,gold_values!$M$3:$M$800,"REPORTED")</f>
        <v>28</v>
      </c>
      <c r="D19" s="14" t="n">
        <f aca="false">COUNTIFS(gold_values!$AO$3:$AO$800,"Y",gold_values!$L$3:$L$800,"CORE",gold_values!$C$3:$C$800,A19,gold_values!$M$3:$M$800,"REDACTED")</f>
        <v>0</v>
      </c>
      <c r="E19" s="14" t="n">
        <f aca="false">COUNTIFS(gold_values!$AO$3:$AO$800,"Y",gold_values!$L$3:$L$800,"CORE",gold_values!$C$3:$C$800,A19,gold_values!$M$3:$M$800,"NOT_FOUND")</f>
        <v>3</v>
      </c>
      <c r="F19" s="14" t="n">
        <f aca="false">COUNTIFS(gold_values!$AO$3:$AO$800,"Y",gold_values!$L$3:$L$800,"CORE",gold_values!$C$3:$C$800,A19,gold_values!$M$3:$M$800,"NOT_APPLICABLE")</f>
        <v>0</v>
      </c>
      <c r="G19" s="14" t="n">
        <f aca="false">COUNTIFS(gold_values!$AO$3:$AO$800,"Y",gold_values!$L$3:$L$800,"CORE",gold_values!$C$3:$C$800,A19,gold_values!$M$3:$M$800,"PENDING")</f>
        <v>1</v>
      </c>
      <c r="H19" s="16" t="n">
        <f aca="false">IF((C19+D19+E19)=0,"-",C19/(C19+D19+E19))</f>
        <v>0.903225806451613</v>
      </c>
    </row>
    <row r="20" customFormat="false" ht="15" hidden="false" customHeight="false" outlineLevel="0" collapsed="false">
      <c r="A20" s="15" t="s">
        <v>83</v>
      </c>
      <c r="B20" s="14" t="n">
        <f aca="false">COUNTIFS(gold_values!$AO$3:$AO$800,"Y",gold_values!$L$3:$L$800,"CORE",gold_values!$C$3:$C$800,A20)</f>
        <v>32</v>
      </c>
      <c r="C20" s="14" t="n">
        <f aca="false">COUNTIFS(gold_values!$AO$3:$AO$800,"Y",gold_values!$L$3:$L$800,"CORE",gold_values!$C$3:$C$800,A20,gold_values!$M$3:$M$800,"REPORTED")</f>
        <v>29</v>
      </c>
      <c r="D20" s="14" t="n">
        <f aca="false">COUNTIFS(gold_values!$AO$3:$AO$800,"Y",gold_values!$L$3:$L$800,"CORE",gold_values!$C$3:$C$800,A20,gold_values!$M$3:$M$800,"REDACTED")</f>
        <v>0</v>
      </c>
      <c r="E20" s="14" t="n">
        <f aca="false">COUNTIFS(gold_values!$AO$3:$AO$800,"Y",gold_values!$L$3:$L$800,"CORE",gold_values!$C$3:$C$800,A20,gold_values!$M$3:$M$800,"NOT_FOUND")</f>
        <v>3</v>
      </c>
      <c r="F20" s="14" t="n">
        <f aca="false">COUNTIFS(gold_values!$AO$3:$AO$800,"Y",gold_values!$L$3:$L$800,"CORE",gold_values!$C$3:$C$800,A20,gold_values!$M$3:$M$800,"NOT_APPLICABLE")</f>
        <v>0</v>
      </c>
      <c r="G20" s="14" t="n">
        <f aca="false">COUNTIFS(gold_values!$AO$3:$AO$800,"Y",gold_values!$L$3:$L$800,"CORE",gold_values!$C$3:$C$800,A20,gold_values!$M$3:$M$800,"PENDING")</f>
        <v>0</v>
      </c>
      <c r="H20" s="16" t="n">
        <f aca="false">IF((C20+D20+E20)=0,"-",C20/(C20+D20+E20))</f>
        <v>0.90625</v>
      </c>
    </row>
    <row r="22" customFormat="false" ht="15" hidden="false" customHeight="false" outlineLevel="0" collapsed="false">
      <c r="A22" s="2" t="s">
        <v>84</v>
      </c>
    </row>
    <row r="23" customFormat="false" ht="23.85" hidden="false" customHeight="false" outlineLevel="0" collapsed="false">
      <c r="A23" s="12" t="s">
        <v>77</v>
      </c>
      <c r="B23" s="12" t="s">
        <v>78</v>
      </c>
      <c r="C23" s="17" t="s">
        <v>62</v>
      </c>
      <c r="D23" s="17" t="s">
        <v>64</v>
      </c>
      <c r="E23" s="17" t="s">
        <v>66</v>
      </c>
      <c r="F23" s="17" t="s">
        <v>68</v>
      </c>
      <c r="G23" s="17" t="s">
        <v>70</v>
      </c>
      <c r="H23" s="12" t="s">
        <v>79</v>
      </c>
    </row>
    <row r="24" customFormat="false" ht="15" hidden="false" customHeight="false" outlineLevel="0" collapsed="false">
      <c r="A24" s="15" t="s">
        <v>85</v>
      </c>
      <c r="B24" s="14" t="n">
        <f aca="false">COUNTIFS(gold_values!$AO$3:$AO$800,"Y",gold_values!$L$3:$L$800,"CORE",gold_values!$E$3:$E$800,A24)</f>
        <v>52</v>
      </c>
      <c r="C24" s="14" t="n">
        <f aca="false">COUNTIFS(gold_values!$AO$3:$AO$800,"Y",gold_values!$L$3:$L$800,"CORE",gold_values!$E$3:$E$800,A24,gold_values!$M$3:$M$800,"REPORTED")</f>
        <v>49</v>
      </c>
      <c r="D24" s="14" t="n">
        <f aca="false">COUNTIFS(gold_values!$AO$3:$AO$800,"Y",gold_values!$L$3:$L$800,"CORE",gold_values!$E$3:$E$800,A24,gold_values!$M$3:$M$800,"REDACTED")</f>
        <v>0</v>
      </c>
      <c r="E24" s="14" t="n">
        <f aca="false">COUNTIFS(gold_values!$AO$3:$AO$800,"Y",gold_values!$L$3:$L$800,"CORE",gold_values!$E$3:$E$800,A24,gold_values!$M$3:$M$800,"NOT_FOUND")</f>
        <v>3</v>
      </c>
      <c r="F24" s="14" t="n">
        <f aca="false">COUNTIFS(gold_values!$AO$3:$AO$800,"Y",gold_values!$L$3:$L$800,"CORE",gold_values!$E$3:$E$800,A24,gold_values!$M$3:$M$800,"NOT_APPLICABLE")</f>
        <v>0</v>
      </c>
      <c r="G24" s="14" t="n">
        <f aca="false">COUNTIFS(gold_values!$AO$3:$AO$800,"Y",gold_values!$L$3:$L$800,"CORE",gold_values!$E$3:$E$800,A24,gold_values!$M$3:$M$800,"PENDING")</f>
        <v>0</v>
      </c>
      <c r="H24" s="16" t="n">
        <f aca="false">IF((C24+D24+E24)=0,"-",C24/(C24+D24+E24))</f>
        <v>0.942307692307692</v>
      </c>
    </row>
    <row r="25" customFormat="false" ht="15" hidden="false" customHeight="false" outlineLevel="0" collapsed="false">
      <c r="A25" s="15" t="s">
        <v>86</v>
      </c>
      <c r="B25" s="14" t="n">
        <f aca="false">COUNTIFS(gold_values!$AO$3:$AO$800,"Y",gold_values!$L$3:$L$800,"CORE",gold_values!$E$3:$E$800,A25)</f>
        <v>48</v>
      </c>
      <c r="C25" s="14" t="n">
        <f aca="false">COUNTIFS(gold_values!$AO$3:$AO$800,"Y",gold_values!$L$3:$L$800,"CORE",gold_values!$E$3:$E$800,A25,gold_values!$M$3:$M$800,"REPORTED")</f>
        <v>34</v>
      </c>
      <c r="D25" s="14" t="n">
        <f aca="false">COUNTIFS(gold_values!$AO$3:$AO$800,"Y",gold_values!$L$3:$L$800,"CORE",gold_values!$E$3:$E$800,A25,gold_values!$M$3:$M$800,"REDACTED")</f>
        <v>0</v>
      </c>
      <c r="E25" s="14" t="n">
        <f aca="false">COUNTIFS(gold_values!$AO$3:$AO$800,"Y",gold_values!$L$3:$L$800,"CORE",gold_values!$E$3:$E$800,A25,gold_values!$M$3:$M$800,"NOT_FOUND")</f>
        <v>13</v>
      </c>
      <c r="F25" s="14" t="n">
        <f aca="false">COUNTIFS(gold_values!$AO$3:$AO$800,"Y",gold_values!$L$3:$L$800,"CORE",gold_values!$E$3:$E$800,A25,gold_values!$M$3:$M$800,"NOT_APPLICABLE")</f>
        <v>0</v>
      </c>
      <c r="G25" s="14" t="n">
        <f aca="false">COUNTIFS(gold_values!$AO$3:$AO$800,"Y",gold_values!$L$3:$L$800,"CORE",gold_values!$E$3:$E$800,A25,gold_values!$M$3:$M$800,"PENDING")</f>
        <v>1</v>
      </c>
      <c r="H25" s="16" t="n">
        <f aca="false">IF((C25+D25+E25)=0,"-",C25/(C25+D25+E25))</f>
        <v>0.723404255319149</v>
      </c>
    </row>
    <row r="26" customFormat="false" ht="15" hidden="false" customHeight="false" outlineLevel="0" collapsed="false">
      <c r="A26" s="15" t="s">
        <v>87</v>
      </c>
      <c r="B26" s="14" t="n">
        <f aca="false">COUNTIFS(gold_values!$AO$3:$AO$800,"Y",gold_values!$L$3:$L$800,"CORE",gold_values!$E$3:$E$800,A26)</f>
        <v>28</v>
      </c>
      <c r="C26" s="14" t="n">
        <f aca="false">COUNTIFS(gold_values!$AO$3:$AO$800,"Y",gold_values!$L$3:$L$800,"CORE",gold_values!$E$3:$E$800,A26,gold_values!$M$3:$M$800,"REPORTED")</f>
        <v>25</v>
      </c>
      <c r="D26" s="14" t="n">
        <f aca="false">COUNTIFS(gold_values!$AO$3:$AO$800,"Y",gold_values!$L$3:$L$800,"CORE",gold_values!$E$3:$E$800,A26,gold_values!$M$3:$M$800,"REDACTED")</f>
        <v>0</v>
      </c>
      <c r="E26" s="14" t="n">
        <f aca="false">COUNTIFS(gold_values!$AO$3:$AO$800,"Y",gold_values!$L$3:$L$800,"CORE",gold_values!$E$3:$E$800,A26,gold_values!$M$3:$M$800,"NOT_FOUND")</f>
        <v>3</v>
      </c>
      <c r="F26" s="14" t="n">
        <f aca="false">COUNTIFS(gold_values!$AO$3:$AO$800,"Y",gold_values!$L$3:$L$800,"CORE",gold_values!$E$3:$E$800,A26,gold_values!$M$3:$M$800,"NOT_APPLICABLE")</f>
        <v>0</v>
      </c>
      <c r="G26" s="14" t="n">
        <f aca="false">COUNTIFS(gold_values!$AO$3:$AO$800,"Y",gold_values!$L$3:$L$800,"CORE",gold_values!$E$3:$E$800,A26,gold_values!$M$3:$M$800,"PENDING")</f>
        <v>0</v>
      </c>
      <c r="H26" s="16" t="n">
        <f aca="false">IF((C26+D26+E26)=0,"-",C26/(C26+D26+E26))</f>
        <v>0.892857142857143</v>
      </c>
    </row>
    <row r="28" customFormat="false" ht="17.15" hidden="false" customHeight="false" outlineLevel="0" collapsed="false">
      <c r="A28" s="2" t="s">
        <v>88</v>
      </c>
    </row>
    <row r="29" customFormat="false" ht="15" hidden="false" customHeight="false" outlineLevel="0" collapsed="false">
      <c r="A29" s="12" t="s">
        <v>57</v>
      </c>
      <c r="B29" s="12" t="s">
        <v>58</v>
      </c>
      <c r="C29" s="12" t="s">
        <v>59</v>
      </c>
    </row>
    <row r="30" customFormat="false" ht="15" hidden="false" customHeight="false" outlineLevel="0" collapsed="false">
      <c r="A30" s="13" t="s">
        <v>89</v>
      </c>
      <c r="B30" s="14" t="n">
        <f aca="false">COUNTIFS(gold_values!$L$3:$L$800,"&lt;&gt;EXAMPLE",gold_values!$AD$3:$AD$800,"PASS")</f>
        <v>94</v>
      </c>
      <c r="C30" s="13" t="s">
        <v>90</v>
      </c>
    </row>
    <row r="31" customFormat="false" ht="15" hidden="false" customHeight="false" outlineLevel="0" collapsed="false">
      <c r="A31" s="13" t="s">
        <v>91</v>
      </c>
      <c r="B31" s="14" t="n">
        <f aca="false">COUNTIFS(gold_values!$L$3:$L$800,"&lt;&gt;EXAMPLE",gold_values!$AD$3:$AD$800,"FAIL*")</f>
        <v>0</v>
      </c>
      <c r="C31" s="15" t="s">
        <v>92</v>
      </c>
    </row>
    <row r="32" customFormat="false" ht="15" hidden="false" customHeight="false" outlineLevel="0" collapsed="false">
      <c r="A32" s="13" t="s">
        <v>93</v>
      </c>
      <c r="B32" s="14" t="n">
        <f aca="false">COUNTIFS(gold_values!$L$3:$L$800,"&lt;&gt;EXAMPLE",gold_values!$AD$3:$AD$800,"IMAGE*")</f>
        <v>34</v>
      </c>
      <c r="C32" s="13" t="s">
        <v>94</v>
      </c>
    </row>
    <row r="33" customFormat="false" ht="15" hidden="false" customHeight="false" outlineLevel="0" collapsed="false">
      <c r="A33" s="15" t="s">
        <v>95</v>
      </c>
      <c r="B33" s="16" t="str">
        <f aca="false">IF((COUNTIF(gold_values!$AJ$3:$AJ$800,"Y")+COUNTIF(gold_values!$AJ$3:$AJ$800,"N"))=0,"-",COUNTIF(gold_values!$AJ$3:$AJ$800,"Y")/(COUNTIF(gold_values!$AJ$3:$AJ$800,"Y")+COUNTIF(gold_values!$AJ$3:$AJ$800,"N")))</f>
        <v>-</v>
      </c>
      <c r="C33" s="15" t="s">
        <v>96</v>
      </c>
    </row>
    <row r="34" customFormat="false" ht="15" hidden="false" customHeight="false" outlineLevel="0" collapsed="false">
      <c r="A34" s="13" t="s">
        <v>97</v>
      </c>
      <c r="B34" s="14" t="str">
        <f aca="false">COUNTIF(gold_values!$AM$3:$AM$800,"Y")&amp;" / "&amp;(COUNTIF(gold_values!$AM$3:$AM$800,"Y")+COUNTIF(gold_values!$AM$3:$AM$800,"N"))</f>
        <v>8 / 8</v>
      </c>
      <c r="C34" s="15" t="s">
        <v>98</v>
      </c>
    </row>
    <row r="35" customFormat="false" ht="15" hidden="false" customHeight="false" outlineLevel="0" collapsed="false">
      <c r="A35" s="13" t="s">
        <v>99</v>
      </c>
      <c r="B35" s="14" t="n">
        <f aca="false">COUNTIF(gold_values!$AP$3:$AP$800,"*누락")</f>
        <v>0</v>
      </c>
      <c r="C35" s="15" t="s">
        <v>92</v>
      </c>
    </row>
    <row r="36" customFormat="false" ht="15" hidden="false" customHeight="false" outlineLevel="0" collapsed="false">
      <c r="A36" s="15" t="s">
        <v>100</v>
      </c>
      <c r="B36" s="14" t="n">
        <f aca="false">COUNTIF(gold_values!$AN$3:$AN$800,"AI_DRAFT")</f>
        <v>147</v>
      </c>
      <c r="C36" s="13" t="s">
        <v>101</v>
      </c>
    </row>
    <row r="37" customFormat="false" ht="15" hidden="false" customHeight="false" outlineLevel="0" collapsed="false">
      <c r="A37" s="15" t="s">
        <v>102</v>
      </c>
      <c r="B37" s="14" t="n">
        <f aca="false">COUNTIF(gold_values!$AN$3:$AN$800,"HUMAN")</f>
        <v>0</v>
      </c>
      <c r="C37" s="15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8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26"/>
    <col collapsed="false" customWidth="true" hidden="false" outlineLevel="0" max="15" min="15" style="0" width="9"/>
    <col collapsed="false" customWidth="true" hidden="false" outlineLevel="0" max="17" min="16" style="0" width="8"/>
    <col collapsed="false" customWidth="true" hidden="false" outlineLevel="0" max="18" min="18" style="0" width="6"/>
    <col collapsed="false" customWidth="true" hidden="false" outlineLevel="0" max="20" min="19" style="0" width="7"/>
    <col collapsed="false" customWidth="true" hidden="false" outlineLevel="0" max="21" min="21" style="0" width="20"/>
    <col collapsed="false" customWidth="true" hidden="false" outlineLevel="0" max="22" min="22" style="0" width="14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0"/>
    <col collapsed="false" customWidth="true" hidden="false" outlineLevel="0" max="26" min="26" style="0" width="8"/>
    <col collapsed="false" customWidth="true" hidden="false" outlineLevel="0" max="27" min="27" style="0" width="40"/>
    <col collapsed="false" customWidth="true" hidden="false" outlineLevel="0" max="28" min="28" style="0" width="18"/>
    <col collapsed="false" customWidth="true" hidden="false" outlineLevel="0" max="29" min="29" style="0" width="34"/>
    <col collapsed="false" customWidth="true" hidden="false" outlineLevel="0" max="30" min="30" style="0" width="12"/>
    <col collapsed="false" customWidth="true" hidden="false" outlineLevel="0" max="32" min="31" style="0" width="10"/>
    <col collapsed="false" customWidth="true" hidden="false" outlineLevel="0" max="35" min="33" style="0" width="9"/>
    <col collapsed="false" customWidth="true" hidden="false" outlineLevel="0" max="36" min="36" style="0" width="7"/>
    <col collapsed="false" customWidth="true" hidden="false" outlineLevel="0" max="37" min="37" style="0" width="11"/>
    <col collapsed="false" customWidth="true" hidden="false" outlineLevel="0" max="38" min="38" style="0" width="9"/>
    <col collapsed="false" customWidth="true" hidden="false" outlineLevel="0" max="39" min="39" style="0" width="8"/>
    <col collapsed="false" customWidth="true" hidden="false" outlineLevel="0" max="40" min="40" style="0" width="10"/>
    <col collapsed="false" customWidth="true" hidden="false" outlineLevel="0" max="41" min="41" style="0" width="7"/>
    <col collapsed="false" customWidth="true" hidden="false" outlineLevel="0" max="42" min="42" style="0" width="11"/>
    <col collapsed="false" customWidth="true" hidden="false" outlineLevel="0" max="43" min="43" style="0" width="40"/>
  </cols>
  <sheetData>
    <row r="1" customFormat="false" ht="15" hidden="false" customHeight="true" outlineLevel="0" collapsed="false">
      <c r="A1" s="18" t="s">
        <v>104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 t="s">
        <v>105</v>
      </c>
      <c r="N1" s="19"/>
      <c r="O1" s="19"/>
      <c r="P1" s="19"/>
      <c r="Q1" s="19"/>
      <c r="R1" s="19"/>
      <c r="S1" s="19"/>
      <c r="T1" s="19"/>
      <c r="U1" s="19"/>
      <c r="V1" s="20" t="s">
        <v>53</v>
      </c>
      <c r="W1" s="20"/>
      <c r="X1" s="20"/>
      <c r="Y1" s="20"/>
      <c r="Z1" s="20"/>
      <c r="AA1" s="20"/>
      <c r="AB1" s="20"/>
      <c r="AC1" s="20"/>
      <c r="AD1" s="21" t="s">
        <v>106</v>
      </c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</row>
    <row r="2" customFormat="false" ht="35.05" hidden="false" customHeight="false" outlineLevel="0" collapsed="false">
      <c r="A2" s="17" t="s">
        <v>107</v>
      </c>
      <c r="B2" s="17" t="s">
        <v>108</v>
      </c>
      <c r="C2" s="17" t="s">
        <v>109</v>
      </c>
      <c r="D2" s="17" t="s">
        <v>110</v>
      </c>
      <c r="E2" s="17" t="s">
        <v>111</v>
      </c>
      <c r="F2" s="17" t="s">
        <v>112</v>
      </c>
      <c r="G2" s="17" t="s">
        <v>113</v>
      </c>
      <c r="H2" s="17" t="s">
        <v>114</v>
      </c>
      <c r="I2" s="17" t="s">
        <v>115</v>
      </c>
      <c r="J2" s="17" t="s">
        <v>116</v>
      </c>
      <c r="K2" s="17" t="s">
        <v>117</v>
      </c>
      <c r="L2" s="17" t="s">
        <v>118</v>
      </c>
      <c r="M2" s="17" t="s">
        <v>119</v>
      </c>
      <c r="N2" s="17" t="s">
        <v>120</v>
      </c>
      <c r="O2" s="17" t="s">
        <v>121</v>
      </c>
      <c r="P2" s="17" t="s">
        <v>122</v>
      </c>
      <c r="Q2" s="17" t="s">
        <v>123</v>
      </c>
      <c r="R2" s="17" t="s">
        <v>124</v>
      </c>
      <c r="S2" s="17" t="s">
        <v>125</v>
      </c>
      <c r="T2" s="17" t="s">
        <v>126</v>
      </c>
      <c r="U2" s="17" t="s">
        <v>127</v>
      </c>
      <c r="V2" s="17" t="s">
        <v>128</v>
      </c>
      <c r="W2" s="17" t="s">
        <v>129</v>
      </c>
      <c r="X2" s="17" t="s">
        <v>130</v>
      </c>
      <c r="Y2" s="17" t="s">
        <v>131</v>
      </c>
      <c r="Z2" s="17" t="s">
        <v>132</v>
      </c>
      <c r="AA2" s="17" t="s">
        <v>133</v>
      </c>
      <c r="AB2" s="17" t="s">
        <v>134</v>
      </c>
      <c r="AC2" s="17" t="s">
        <v>135</v>
      </c>
      <c r="AD2" s="17" t="s">
        <v>136</v>
      </c>
      <c r="AE2" s="17" t="s">
        <v>137</v>
      </c>
      <c r="AF2" s="17" t="s">
        <v>138</v>
      </c>
      <c r="AG2" s="17" t="s">
        <v>139</v>
      </c>
      <c r="AH2" s="17" t="s">
        <v>140</v>
      </c>
      <c r="AI2" s="17" t="s">
        <v>141</v>
      </c>
      <c r="AJ2" s="17" t="s">
        <v>142</v>
      </c>
      <c r="AK2" s="17" t="s">
        <v>143</v>
      </c>
      <c r="AL2" s="17" t="s">
        <v>144</v>
      </c>
      <c r="AM2" s="17" t="s">
        <v>145</v>
      </c>
      <c r="AN2" s="17" t="s">
        <v>146</v>
      </c>
      <c r="AO2" s="17" t="s">
        <v>147</v>
      </c>
      <c r="AP2" s="17" t="s">
        <v>148</v>
      </c>
      <c r="AQ2" s="17" t="s">
        <v>149</v>
      </c>
    </row>
    <row r="3" customFormat="false" ht="58.2" hidden="false" customHeight="false" outlineLevel="0" collapsed="false">
      <c r="A3" s="22" t="s">
        <v>150</v>
      </c>
      <c r="B3" s="22" t="s">
        <v>151</v>
      </c>
      <c r="C3" s="22" t="s">
        <v>152</v>
      </c>
      <c r="D3" s="22" t="s">
        <v>153</v>
      </c>
      <c r="E3" s="22" t="str">
        <f aca="false">IFERROR(INDEX(field_dictionary!$B:$B,MATCH($D3,field_dictionary!$A:$A,0)),"")</f>
        <v>PK</v>
      </c>
      <c r="F3" s="22" t="str">
        <f aca="false">IFERROR(INDEX(field_dictionary!$C:$C,MATCH($D3,field_dictionary!$A:$A,0)),"")</f>
        <v>COMPARISON</v>
      </c>
      <c r="G3" s="22" t="s">
        <v>154</v>
      </c>
      <c r="H3" s="22" t="s">
        <v>155</v>
      </c>
      <c r="I3" s="22" t="s">
        <v>156</v>
      </c>
      <c r="J3" s="22"/>
      <c r="K3" s="22" t="s">
        <v>157</v>
      </c>
      <c r="L3" s="22" t="s">
        <v>158</v>
      </c>
      <c r="M3" s="22" t="s">
        <v>62</v>
      </c>
      <c r="N3" s="22" t="s">
        <v>159</v>
      </c>
      <c r="O3" s="23" t="n">
        <v>93.25</v>
      </c>
      <c r="P3" s="23" t="n">
        <v>88.74</v>
      </c>
      <c r="Q3" s="23" t="n">
        <v>97.99</v>
      </c>
      <c r="R3" s="22" t="s">
        <v>160</v>
      </c>
      <c r="S3" s="22"/>
      <c r="T3" s="22"/>
      <c r="U3" s="22"/>
      <c r="V3" s="22" t="s">
        <v>161</v>
      </c>
      <c r="W3" s="22"/>
      <c r="X3" s="22"/>
      <c r="Y3" s="22" t="s">
        <v>162</v>
      </c>
      <c r="Z3" s="22" t="s">
        <v>163</v>
      </c>
      <c r="AA3" s="22"/>
      <c r="AB3" s="22"/>
      <c r="AC3" s="22"/>
      <c r="AD3" s="22"/>
      <c r="AE3" s="22"/>
      <c r="AF3" s="23"/>
      <c r="AG3" s="23"/>
      <c r="AH3" s="23"/>
      <c r="AI3" s="22"/>
      <c r="AJ3" s="22" t="str">
        <f aca="false">IF(AE3="","",IF(AND(AE3=M3,ABS(N(AF3)-N(O3))&lt;=0.01,ABS(N(AG3)-N(P3))&lt;=0.01,ABS(N(AH3)-N(Q3))&lt;=0.01),"Y","N"))</f>
        <v/>
      </c>
      <c r="AK3" s="22"/>
      <c r="AL3" s="23"/>
      <c r="AM3" s="22" t="str">
        <f aca="false">IF(OR(AL3="",O3=""),"",IF(ABS(N(AL3)-N(O3))&lt;=0.01,"Y","N"))</f>
        <v/>
      </c>
      <c r="AN3" s="22"/>
      <c r="AO3" s="22" t="str">
        <f aca="false">IFERROR(INDEX(studies!$L:$L,MATCH($C3,studies!$A:$A,0)),"")</f>
        <v>N</v>
      </c>
      <c r="AP3" s="22" t="str">
        <f aca="false">IF(AND(M3="REPORTED",V3=""),"출처 누락",IF(AND(M3="NOT_FOUND",AC3=""),"검색범위 누락",IF(F3="ARM",IF(OR(H3="",H3="NA"),"arm 누락","OK"),IF(F3="COMPARISON",IF(OR(I3="",I3="NA"),"비교쌍 누락",IF(OR(G3="",G3="NA"),"analysis_id 누락","OK")),IF(F3="","","OK")))))</f>
        <v>OK</v>
      </c>
      <c r="AQ3" s="24" t="s">
        <v>164</v>
      </c>
    </row>
    <row r="4" customFormat="false" ht="58.2" hidden="false" customHeight="false" outlineLevel="0" collapsed="false">
      <c r="A4" s="22" t="s">
        <v>165</v>
      </c>
      <c r="B4" s="22" t="s">
        <v>151</v>
      </c>
      <c r="C4" s="22" t="s">
        <v>152</v>
      </c>
      <c r="D4" s="22" t="s">
        <v>166</v>
      </c>
      <c r="E4" s="22" t="str">
        <f aca="false">IFERROR(INDEX(field_dictionary!$B:$B,MATCH($D4,field_dictionary!$A:$A,0)),"")</f>
        <v>PK</v>
      </c>
      <c r="F4" s="22" t="str">
        <f aca="false">IFERROR(INDEX(field_dictionary!$C:$C,MATCH($D4,field_dictionary!$A:$A,0)),"")</f>
        <v>COMPARISON</v>
      </c>
      <c r="G4" s="22" t="s">
        <v>154</v>
      </c>
      <c r="H4" s="22" t="s">
        <v>155</v>
      </c>
      <c r="I4" s="22" t="s">
        <v>156</v>
      </c>
      <c r="J4" s="22"/>
      <c r="K4" s="22" t="s">
        <v>157</v>
      </c>
      <c r="L4" s="22" t="s">
        <v>158</v>
      </c>
      <c r="M4" s="22" t="s">
        <v>62</v>
      </c>
      <c r="N4" s="22" t="s">
        <v>167</v>
      </c>
      <c r="O4" s="23" t="n">
        <v>94.83</v>
      </c>
      <c r="P4" s="23" t="n">
        <v>89.77</v>
      </c>
      <c r="Q4" s="23" t="n">
        <v>100.18</v>
      </c>
      <c r="R4" s="22" t="s">
        <v>160</v>
      </c>
      <c r="S4" s="22"/>
      <c r="T4" s="22"/>
      <c r="U4" s="22"/>
      <c r="V4" s="22" t="s">
        <v>161</v>
      </c>
      <c r="W4" s="22"/>
      <c r="X4" s="22"/>
      <c r="Y4" s="22" t="s">
        <v>162</v>
      </c>
      <c r="Z4" s="22" t="s">
        <v>163</v>
      </c>
      <c r="AA4" s="22"/>
      <c r="AB4" s="22"/>
      <c r="AC4" s="22"/>
      <c r="AD4" s="22"/>
      <c r="AE4" s="22"/>
      <c r="AF4" s="23"/>
      <c r="AG4" s="23"/>
      <c r="AH4" s="23"/>
      <c r="AI4" s="22"/>
      <c r="AJ4" s="22" t="str">
        <f aca="false">IF(AE4="","",IF(AND(AE4=M4,ABS(N(AF4)-N(O4))&lt;=0.01,ABS(N(AG4)-N(P4))&lt;=0.01,ABS(N(AH4)-N(Q4))&lt;=0.01),"Y","N"))</f>
        <v/>
      </c>
      <c r="AK4" s="22"/>
      <c r="AL4" s="23"/>
      <c r="AM4" s="22" t="str">
        <f aca="false">IF(OR(AL4="",O4=""),"",IF(ABS(N(AL4)-N(O4))&lt;=0.01,"Y","N"))</f>
        <v/>
      </c>
      <c r="AN4" s="22"/>
      <c r="AO4" s="22" t="str">
        <f aca="false">IFERROR(INDEX(studies!$L:$L,MATCH($C4,studies!$A:$A,0)),"")</f>
        <v>N</v>
      </c>
      <c r="AP4" s="22" t="str">
        <f aca="false">IF(AND(M4="REPORTED",V4=""),"출처 누락",IF(AND(M4="NOT_FOUND",AC4=""),"검색범위 누락",IF(F4="ARM",IF(OR(H4="",H4="NA"),"arm 누락","OK"),IF(F4="COMPARISON",IF(OR(I4="",I4="NA"),"비교쌍 누락",IF(OR(G4="",G4="NA"),"analysis_id 누락","OK")),IF(F4="","","OK")))))</f>
        <v>OK</v>
      </c>
      <c r="AQ4" s="24" t="s">
        <v>164</v>
      </c>
    </row>
    <row r="5" customFormat="false" ht="23.85" hidden="false" customHeight="false" outlineLevel="0" collapsed="false">
      <c r="A5" s="15" t="s">
        <v>168</v>
      </c>
      <c r="B5" s="15" t="s">
        <v>169</v>
      </c>
      <c r="C5" s="15" t="s">
        <v>80</v>
      </c>
      <c r="D5" s="15" t="s">
        <v>170</v>
      </c>
      <c r="E5" s="14" t="str">
        <f aca="false">IFERROR(INDEX(field_dictionary!$B:$B,MATCH($D5,field_dictionary!$A:$A,0)),"")</f>
        <v>DESIGN</v>
      </c>
      <c r="F5" s="14" t="str">
        <f aca="false">IFERROR(INDEX(field_dictionary!$C:$C,MATCH($D5,field_dictionary!$A:$A,0)),"")</f>
        <v>STUDY</v>
      </c>
      <c r="G5" s="15" t="s">
        <v>155</v>
      </c>
      <c r="H5" s="15" t="s">
        <v>155</v>
      </c>
      <c r="I5" s="15" t="s">
        <v>155</v>
      </c>
      <c r="J5" s="15" t="s">
        <v>155</v>
      </c>
      <c r="K5" s="15"/>
      <c r="L5" s="15" t="s">
        <v>171</v>
      </c>
      <c r="M5" s="15" t="s">
        <v>62</v>
      </c>
      <c r="N5" s="15" t="s">
        <v>172</v>
      </c>
      <c r="O5" s="25" t="n">
        <v>1</v>
      </c>
      <c r="P5" s="25"/>
      <c r="Q5" s="25"/>
      <c r="R5" s="15"/>
      <c r="S5" s="15"/>
      <c r="T5" s="15"/>
      <c r="U5" s="15"/>
      <c r="V5" s="15" t="s">
        <v>173</v>
      </c>
      <c r="W5" s="15" t="n">
        <v>37</v>
      </c>
      <c r="X5" s="15" t="s">
        <v>174</v>
      </c>
      <c r="Y5" s="15" t="s">
        <v>175</v>
      </c>
      <c r="Z5" s="15" t="s">
        <v>163</v>
      </c>
      <c r="AA5" s="15" t="s">
        <v>176</v>
      </c>
      <c r="AB5" s="15"/>
      <c r="AC5" s="15"/>
      <c r="AD5" s="15" t="s">
        <v>177</v>
      </c>
      <c r="AE5" s="26"/>
      <c r="AF5" s="27"/>
      <c r="AG5" s="27"/>
      <c r="AH5" s="27"/>
      <c r="AI5" s="26"/>
      <c r="AJ5" s="14" t="str">
        <f aca="false">IF(AE5="","",IF(AND(AE5=M5,ABS(N(AF5)-N(O5))&lt;=0.01,ABS(N(AG5)-N(P5))&lt;=0.01,ABS(N(AH5)-N(Q5))&lt;=0.01),"Y","N"))</f>
        <v/>
      </c>
      <c r="AK5" s="15"/>
      <c r="AL5" s="25"/>
      <c r="AM5" s="14" t="str">
        <f aca="false">IF(OR(AL5="",O5=""),"",IF(ABS(N(AL5)-N(O5))&lt;=0.01,"Y","N"))</f>
        <v/>
      </c>
      <c r="AN5" s="15" t="s">
        <v>11</v>
      </c>
      <c r="AO5" s="14" t="str">
        <f aca="false">IFERROR(INDEX(studies!$L:$L,MATCH($C5,studies!$A:$A,0)),"")</f>
        <v>Y</v>
      </c>
      <c r="AP5" s="14" t="str">
        <f aca="false">IF(AND(M5="REPORTED",V5=""),"출처 누락",IF(AND(M5="NOT_FOUND",AC5=""),"검색범위 누락",IF(F5="ARM",IF(OR(H5="",H5="NA"),"arm 누락","OK"),IF(F5="COMPARISON",IF(OR(I5="",I5="NA"),"비교쌍 누락",IF(OR(G5="",G5="NA"),"analysis_id 누락","OK")),IF(F5="","","OK")))))</f>
        <v>OK</v>
      </c>
      <c r="AQ5" s="15"/>
    </row>
    <row r="6" customFormat="false" ht="46.25" hidden="false" customHeight="false" outlineLevel="0" collapsed="false">
      <c r="A6" s="15" t="s">
        <v>178</v>
      </c>
      <c r="B6" s="15" t="s">
        <v>169</v>
      </c>
      <c r="C6" s="15" t="s">
        <v>80</v>
      </c>
      <c r="D6" s="15" t="s">
        <v>179</v>
      </c>
      <c r="E6" s="14" t="str">
        <f aca="false">IFERROR(INDEX(field_dictionary!$B:$B,MATCH($D6,field_dictionary!$A:$A,0)),"")</f>
        <v>DESIGN</v>
      </c>
      <c r="F6" s="14" t="str">
        <f aca="false">IFERROR(INDEX(field_dictionary!$C:$C,MATCH($D6,field_dictionary!$A:$A,0)),"")</f>
        <v>STUDY</v>
      </c>
      <c r="G6" s="15" t="s">
        <v>155</v>
      </c>
      <c r="H6" s="15" t="s">
        <v>155</v>
      </c>
      <c r="I6" s="15" t="s">
        <v>155</v>
      </c>
      <c r="J6" s="15" t="s">
        <v>155</v>
      </c>
      <c r="K6" s="15"/>
      <c r="L6" s="15" t="s">
        <v>171</v>
      </c>
      <c r="M6" s="15" t="s">
        <v>62</v>
      </c>
      <c r="N6" s="15" t="s">
        <v>180</v>
      </c>
      <c r="O6" s="25"/>
      <c r="P6" s="25"/>
      <c r="Q6" s="25"/>
      <c r="R6" s="15"/>
      <c r="S6" s="15"/>
      <c r="T6" s="15"/>
      <c r="U6" s="15"/>
      <c r="V6" s="15" t="s">
        <v>173</v>
      </c>
      <c r="W6" s="15" t="n">
        <v>38</v>
      </c>
      <c r="X6" s="15" t="s">
        <v>181</v>
      </c>
      <c r="Y6" s="15" t="s">
        <v>182</v>
      </c>
      <c r="Z6" s="15" t="s">
        <v>163</v>
      </c>
      <c r="AA6" s="15" t="s">
        <v>183</v>
      </c>
      <c r="AB6" s="15"/>
      <c r="AC6" s="15"/>
      <c r="AD6" s="15" t="s">
        <v>177</v>
      </c>
      <c r="AE6" s="26"/>
      <c r="AF6" s="27"/>
      <c r="AG6" s="27"/>
      <c r="AH6" s="27"/>
      <c r="AI6" s="26"/>
      <c r="AJ6" s="14" t="str">
        <f aca="false">IF(AE6="","",IF(AND(AE6=M6,ABS(N(AF6)-N(O6))&lt;=0.01,ABS(N(AG6)-N(P6))&lt;=0.01,ABS(N(AH6)-N(Q6))&lt;=0.01),"Y","N"))</f>
        <v/>
      </c>
      <c r="AK6" s="15"/>
      <c r="AL6" s="25"/>
      <c r="AM6" s="14" t="str">
        <f aca="false">IF(OR(AL6="",O6=""),"",IF(ABS(N(AL6)-N(O6))&lt;=0.01,"Y","N"))</f>
        <v/>
      </c>
      <c r="AN6" s="15" t="s">
        <v>11</v>
      </c>
      <c r="AO6" s="14" t="str">
        <f aca="false">IFERROR(INDEX(studies!$L:$L,MATCH($C6,studies!$A:$A,0)),"")</f>
        <v>Y</v>
      </c>
      <c r="AP6" s="14" t="str">
        <f aca="false">IF(AND(M6="REPORTED",V6=""),"출처 누락",IF(AND(M6="NOT_FOUND",AC6=""),"검색범위 누락",IF(F6="ARM",IF(OR(H6="",H6="NA"),"arm 누락","OK"),IF(F6="COMPARISON",IF(OR(I6="",I6="NA"),"비교쌍 누락",IF(OR(G6="",G6="NA"),"analysis_id 누락","OK")),IF(F6="","","OK")))))</f>
        <v>OK</v>
      </c>
      <c r="AQ6" s="15"/>
    </row>
    <row r="7" customFormat="false" ht="35.05" hidden="false" customHeight="false" outlineLevel="0" collapsed="false">
      <c r="A7" s="15" t="s">
        <v>184</v>
      </c>
      <c r="B7" s="15" t="s">
        <v>169</v>
      </c>
      <c r="C7" s="15" t="s">
        <v>80</v>
      </c>
      <c r="D7" s="15" t="s">
        <v>185</v>
      </c>
      <c r="E7" s="14" t="str">
        <f aca="false">IFERROR(INDEX(field_dictionary!$B:$B,MATCH($D7,field_dictionary!$A:$A,0)),"")</f>
        <v>DESIGN</v>
      </c>
      <c r="F7" s="14" t="str">
        <f aca="false">IFERROR(INDEX(field_dictionary!$C:$C,MATCH($D7,field_dictionary!$A:$A,0)),"")</f>
        <v>STUDY</v>
      </c>
      <c r="G7" s="15" t="s">
        <v>155</v>
      </c>
      <c r="H7" s="15" t="s">
        <v>155</v>
      </c>
      <c r="I7" s="15" t="s">
        <v>155</v>
      </c>
      <c r="J7" s="15" t="s">
        <v>155</v>
      </c>
      <c r="K7" s="15"/>
      <c r="L7" s="15" t="s">
        <v>171</v>
      </c>
      <c r="M7" s="15" t="s">
        <v>62</v>
      </c>
      <c r="N7" s="15" t="s">
        <v>186</v>
      </c>
      <c r="O7" s="25"/>
      <c r="P7" s="25"/>
      <c r="Q7" s="25"/>
      <c r="R7" s="15"/>
      <c r="S7" s="15"/>
      <c r="T7" s="15"/>
      <c r="U7" s="15"/>
      <c r="V7" s="15" t="s">
        <v>173</v>
      </c>
      <c r="W7" s="15" t="n">
        <v>37</v>
      </c>
      <c r="X7" s="15" t="s">
        <v>174</v>
      </c>
      <c r="Y7" s="15" t="s">
        <v>175</v>
      </c>
      <c r="Z7" s="15" t="s">
        <v>163</v>
      </c>
      <c r="AA7" s="15" t="s">
        <v>187</v>
      </c>
      <c r="AB7" s="15"/>
      <c r="AC7" s="15"/>
      <c r="AD7" s="15" t="s">
        <v>177</v>
      </c>
      <c r="AE7" s="26"/>
      <c r="AF7" s="27"/>
      <c r="AG7" s="27"/>
      <c r="AH7" s="27"/>
      <c r="AI7" s="26"/>
      <c r="AJ7" s="14" t="str">
        <f aca="false">IF(AE7="","",IF(AND(AE7=M7,ABS(N(AF7)-N(O7))&lt;=0.01,ABS(N(AG7)-N(P7))&lt;=0.01,ABS(N(AH7)-N(Q7))&lt;=0.01),"Y","N"))</f>
        <v/>
      </c>
      <c r="AK7" s="15"/>
      <c r="AL7" s="25"/>
      <c r="AM7" s="14" t="str">
        <f aca="false">IF(OR(AL7="",O7=""),"",IF(ABS(N(AL7)-N(O7))&lt;=0.01,"Y","N"))</f>
        <v/>
      </c>
      <c r="AN7" s="15" t="s">
        <v>11</v>
      </c>
      <c r="AO7" s="14" t="str">
        <f aca="false">IFERROR(INDEX(studies!$L:$L,MATCH($C7,studies!$A:$A,0)),"")</f>
        <v>Y</v>
      </c>
      <c r="AP7" s="14" t="str">
        <f aca="false">IF(AND(M7="REPORTED",V7=""),"출처 누락",IF(AND(M7="NOT_FOUND",AC7=""),"검색범위 누락",IF(F7="ARM",IF(OR(H7="",H7="NA"),"arm 누락","OK"),IF(F7="COMPARISON",IF(OR(I7="",I7="NA"),"비교쌍 누락",IF(OR(G7="",G7="NA"),"analysis_id 누락","OK")),IF(F7="","","OK")))))</f>
        <v>OK</v>
      </c>
      <c r="AQ7" s="15"/>
    </row>
    <row r="8" customFormat="false" ht="35.05" hidden="false" customHeight="false" outlineLevel="0" collapsed="false">
      <c r="A8" s="15" t="s">
        <v>188</v>
      </c>
      <c r="B8" s="15" t="s">
        <v>169</v>
      </c>
      <c r="C8" s="15" t="s">
        <v>80</v>
      </c>
      <c r="D8" s="15" t="s">
        <v>189</v>
      </c>
      <c r="E8" s="14" t="str">
        <f aca="false">IFERROR(INDEX(field_dictionary!$B:$B,MATCH($D8,field_dictionary!$A:$A,0)),"")</f>
        <v>DESIGN</v>
      </c>
      <c r="F8" s="14" t="str">
        <f aca="false">IFERROR(INDEX(field_dictionary!$C:$C,MATCH($D8,field_dictionary!$A:$A,0)),"")</f>
        <v>STUDY</v>
      </c>
      <c r="G8" s="15" t="s">
        <v>155</v>
      </c>
      <c r="H8" s="15" t="s">
        <v>155</v>
      </c>
      <c r="I8" s="15" t="s">
        <v>155</v>
      </c>
      <c r="J8" s="15" t="s">
        <v>155</v>
      </c>
      <c r="K8" s="15"/>
      <c r="L8" s="15" t="s">
        <v>171</v>
      </c>
      <c r="M8" s="15" t="s">
        <v>62</v>
      </c>
      <c r="N8" s="15" t="s">
        <v>190</v>
      </c>
      <c r="O8" s="25" t="n">
        <v>45</v>
      </c>
      <c r="P8" s="25"/>
      <c r="Q8" s="25"/>
      <c r="R8" s="15" t="s">
        <v>191</v>
      </c>
      <c r="S8" s="15"/>
      <c r="T8" s="15"/>
      <c r="U8" s="15"/>
      <c r="V8" s="15" t="s">
        <v>173</v>
      </c>
      <c r="W8" s="15" t="n">
        <v>39</v>
      </c>
      <c r="X8" s="15" t="s">
        <v>192</v>
      </c>
      <c r="Y8" s="15" t="s">
        <v>193</v>
      </c>
      <c r="Z8" s="15" t="s">
        <v>163</v>
      </c>
      <c r="AA8" s="15" t="s">
        <v>194</v>
      </c>
      <c r="AB8" s="15"/>
      <c r="AC8" s="15"/>
      <c r="AD8" s="15" t="s">
        <v>177</v>
      </c>
      <c r="AE8" s="26"/>
      <c r="AF8" s="27"/>
      <c r="AG8" s="27"/>
      <c r="AH8" s="27"/>
      <c r="AI8" s="26"/>
      <c r="AJ8" s="14" t="str">
        <f aca="false">IF(AE8="","",IF(AND(AE8=M8,ABS(N(AF8)-N(O8))&lt;=0.01,ABS(N(AG8)-N(P8))&lt;=0.01,ABS(N(AH8)-N(Q8))&lt;=0.01),"Y","N"))</f>
        <v/>
      </c>
      <c r="AK8" s="15"/>
      <c r="AL8" s="25"/>
      <c r="AM8" s="14" t="str">
        <f aca="false">IF(OR(AL8="",O8=""),"",IF(ABS(N(AL8)-N(O8))&lt;=0.01,"Y","N"))</f>
        <v/>
      </c>
      <c r="AN8" s="15" t="s">
        <v>11</v>
      </c>
      <c r="AO8" s="14" t="str">
        <f aca="false">IFERROR(INDEX(studies!$L:$L,MATCH($C8,studies!$A:$A,0)),"")</f>
        <v>Y</v>
      </c>
      <c r="AP8" s="14" t="str">
        <f aca="false">IF(AND(M8="REPORTED",V8=""),"출처 누락",IF(AND(M8="NOT_FOUND",AC8=""),"검색범위 누락",IF(F8="ARM",IF(OR(H8="",H8="NA"),"arm 누락","OK"),IF(F8="COMPARISON",IF(OR(I8="",I8="NA"),"비교쌍 누락",IF(OR(G8="",G8="NA"),"analysis_id 누락","OK")),IF(F8="","","OK")))))</f>
        <v>OK</v>
      </c>
      <c r="AQ8" s="15"/>
    </row>
    <row r="9" customFormat="false" ht="23.85" hidden="false" customHeight="false" outlineLevel="0" collapsed="false">
      <c r="A9" s="15" t="s">
        <v>195</v>
      </c>
      <c r="B9" s="15" t="s">
        <v>169</v>
      </c>
      <c r="C9" s="15" t="s">
        <v>80</v>
      </c>
      <c r="D9" s="15" t="s">
        <v>196</v>
      </c>
      <c r="E9" s="14" t="str">
        <f aca="false">IFERROR(INDEX(field_dictionary!$B:$B,MATCH($D9,field_dictionary!$A:$A,0)),"")</f>
        <v>DESIGN</v>
      </c>
      <c r="F9" s="14" t="str">
        <f aca="false">IFERROR(INDEX(field_dictionary!$C:$C,MATCH($D9,field_dictionary!$A:$A,0)),"")</f>
        <v>STUDY</v>
      </c>
      <c r="G9" s="15" t="s">
        <v>155</v>
      </c>
      <c r="H9" s="15" t="s">
        <v>155</v>
      </c>
      <c r="I9" s="15" t="s">
        <v>155</v>
      </c>
      <c r="J9" s="15" t="s">
        <v>155</v>
      </c>
      <c r="K9" s="15"/>
      <c r="L9" s="15" t="s">
        <v>171</v>
      </c>
      <c r="M9" s="15" t="s">
        <v>62</v>
      </c>
      <c r="N9" s="15" t="s">
        <v>197</v>
      </c>
      <c r="O9" s="25"/>
      <c r="P9" s="25"/>
      <c r="Q9" s="25"/>
      <c r="R9" s="15"/>
      <c r="S9" s="15"/>
      <c r="T9" s="15"/>
      <c r="U9" s="15"/>
      <c r="V9" s="15" t="s">
        <v>173</v>
      </c>
      <c r="W9" s="15" t="n">
        <v>39</v>
      </c>
      <c r="X9" s="15" t="s">
        <v>192</v>
      </c>
      <c r="Y9" s="15" t="s">
        <v>193</v>
      </c>
      <c r="Z9" s="15" t="s">
        <v>163</v>
      </c>
      <c r="AA9" s="15" t="s">
        <v>198</v>
      </c>
      <c r="AB9" s="15"/>
      <c r="AC9" s="15"/>
      <c r="AD9" s="15" t="s">
        <v>177</v>
      </c>
      <c r="AE9" s="26"/>
      <c r="AF9" s="27"/>
      <c r="AG9" s="27"/>
      <c r="AH9" s="27"/>
      <c r="AI9" s="26"/>
      <c r="AJ9" s="14" t="str">
        <f aca="false">IF(AE9="","",IF(AND(AE9=M9,ABS(N(AF9)-N(O9))&lt;=0.01,ABS(N(AG9)-N(P9))&lt;=0.01,ABS(N(AH9)-N(Q9))&lt;=0.01),"Y","N"))</f>
        <v/>
      </c>
      <c r="AK9" s="15"/>
      <c r="AL9" s="25"/>
      <c r="AM9" s="14" t="str">
        <f aca="false">IF(OR(AL9="",O9=""),"",IF(ABS(N(AL9)-N(O9))&lt;=0.01,"Y","N"))</f>
        <v/>
      </c>
      <c r="AN9" s="15" t="s">
        <v>11</v>
      </c>
      <c r="AO9" s="14" t="str">
        <f aca="false">IFERROR(INDEX(studies!$L:$L,MATCH($C9,studies!$A:$A,0)),"")</f>
        <v>Y</v>
      </c>
      <c r="AP9" s="14" t="str">
        <f aca="false">IF(AND(M9="REPORTED",V9=""),"출처 누락",IF(AND(M9="NOT_FOUND",AC9=""),"검색범위 누락",IF(F9="ARM",IF(OR(H9="",H9="NA"),"arm 누락","OK"),IF(F9="COMPARISON",IF(OR(I9="",I9="NA"),"비교쌍 누락",IF(OR(G9="",G9="NA"),"analysis_id 누락","OK")),IF(F9="","","OK")))))</f>
        <v>OK</v>
      </c>
      <c r="AQ9" s="15"/>
    </row>
    <row r="10" customFormat="false" ht="35.05" hidden="false" customHeight="false" outlineLevel="0" collapsed="false">
      <c r="A10" s="15" t="s">
        <v>199</v>
      </c>
      <c r="B10" s="15" t="s">
        <v>169</v>
      </c>
      <c r="C10" s="15" t="s">
        <v>80</v>
      </c>
      <c r="D10" s="15" t="s">
        <v>200</v>
      </c>
      <c r="E10" s="14" t="str">
        <f aca="false">IFERROR(INDEX(field_dictionary!$B:$B,MATCH($D10,field_dictionary!$A:$A,0)),"")</f>
        <v>DESIGN</v>
      </c>
      <c r="F10" s="14" t="str">
        <f aca="false">IFERROR(INDEX(field_dictionary!$C:$C,MATCH($D10,field_dictionary!$A:$A,0)),"")</f>
        <v>STUDY</v>
      </c>
      <c r="G10" s="15" t="s">
        <v>155</v>
      </c>
      <c r="H10" s="15" t="s">
        <v>155</v>
      </c>
      <c r="I10" s="15" t="s">
        <v>155</v>
      </c>
      <c r="J10" s="15" t="s">
        <v>155</v>
      </c>
      <c r="K10" s="15"/>
      <c r="L10" s="15" t="s">
        <v>171</v>
      </c>
      <c r="M10" s="15" t="s">
        <v>62</v>
      </c>
      <c r="N10" s="15" t="s">
        <v>201</v>
      </c>
      <c r="O10" s="25"/>
      <c r="P10" s="25"/>
      <c r="Q10" s="25"/>
      <c r="R10" s="15"/>
      <c r="S10" s="15"/>
      <c r="T10" s="15"/>
      <c r="U10" s="15"/>
      <c r="V10" s="15" t="s">
        <v>173</v>
      </c>
      <c r="W10" s="15" t="n">
        <v>39</v>
      </c>
      <c r="X10" s="15" t="s">
        <v>192</v>
      </c>
      <c r="Y10" s="15" t="s">
        <v>202</v>
      </c>
      <c r="Z10" s="15" t="s">
        <v>163</v>
      </c>
      <c r="AA10" s="15" t="s">
        <v>203</v>
      </c>
      <c r="AB10" s="15"/>
      <c r="AC10" s="15"/>
      <c r="AD10" s="15" t="s">
        <v>177</v>
      </c>
      <c r="AE10" s="26"/>
      <c r="AF10" s="27"/>
      <c r="AG10" s="27"/>
      <c r="AH10" s="27"/>
      <c r="AI10" s="26"/>
      <c r="AJ10" s="14" t="str">
        <f aca="false">IF(AE10="","",IF(AND(AE10=M10,ABS(N(AF10)-N(O10))&lt;=0.01,ABS(N(AG10)-N(P10))&lt;=0.01,ABS(N(AH10)-N(Q10))&lt;=0.01),"Y","N"))</f>
        <v/>
      </c>
      <c r="AK10" s="15"/>
      <c r="AL10" s="25"/>
      <c r="AM10" s="14" t="str">
        <f aca="false">IF(OR(AL10="",O10=""),"",IF(ABS(N(AL10)-N(O10))&lt;=0.01,"Y","N"))</f>
        <v/>
      </c>
      <c r="AN10" s="15" t="s">
        <v>11</v>
      </c>
      <c r="AO10" s="14" t="str">
        <f aca="false">IFERROR(INDEX(studies!$L:$L,MATCH($C10,studies!$A:$A,0)),"")</f>
        <v>Y</v>
      </c>
      <c r="AP10" s="14" t="str">
        <f aca="false">IF(AND(M10="REPORTED",V10=""),"출처 누락",IF(AND(M10="NOT_FOUND",AC10=""),"검색범위 누락",IF(F10="ARM",IF(OR(H10="",H10="NA"),"arm 누락","OK"),IF(F10="COMPARISON",IF(OR(I10="",I10="NA"),"비교쌍 누락",IF(OR(G10="",G10="NA"),"analysis_id 누락","OK")),IF(F10="","","OK")))))</f>
        <v>OK</v>
      </c>
      <c r="AQ10" s="15"/>
    </row>
    <row r="11" customFormat="false" ht="29.85" hidden="false" customHeight="false" outlineLevel="0" collapsed="false">
      <c r="A11" s="15" t="s">
        <v>204</v>
      </c>
      <c r="B11" s="15" t="s">
        <v>169</v>
      </c>
      <c r="C11" s="15" t="s">
        <v>80</v>
      </c>
      <c r="D11" s="15" t="s">
        <v>205</v>
      </c>
      <c r="E11" s="14" t="str">
        <f aca="false">IFERROR(INDEX(field_dictionary!$B:$B,MATCH($D11,field_dictionary!$A:$A,0)),"")</f>
        <v>DESIGN</v>
      </c>
      <c r="F11" s="14" t="str">
        <f aca="false">IFERROR(INDEX(field_dictionary!$C:$C,MATCH($D11,field_dictionary!$A:$A,0)),"")</f>
        <v>STUDY</v>
      </c>
      <c r="G11" s="15" t="s">
        <v>155</v>
      </c>
      <c r="H11" s="15" t="s">
        <v>155</v>
      </c>
      <c r="I11" s="15" t="s">
        <v>155</v>
      </c>
      <c r="J11" s="15" t="s">
        <v>155</v>
      </c>
      <c r="K11" s="15"/>
      <c r="L11" s="15" t="s">
        <v>171</v>
      </c>
      <c r="M11" s="15" t="s">
        <v>62</v>
      </c>
      <c r="N11" s="15" t="s">
        <v>206</v>
      </c>
      <c r="O11" s="25"/>
      <c r="P11" s="25"/>
      <c r="Q11" s="25"/>
      <c r="R11" s="15" t="s">
        <v>207</v>
      </c>
      <c r="S11" s="15"/>
      <c r="T11" s="15"/>
      <c r="U11" s="15"/>
      <c r="V11" s="15" t="s">
        <v>173</v>
      </c>
      <c r="W11" s="15" t="n">
        <v>39</v>
      </c>
      <c r="X11" s="15" t="s">
        <v>192</v>
      </c>
      <c r="Y11" s="15" t="s">
        <v>208</v>
      </c>
      <c r="Z11" s="15" t="s">
        <v>163</v>
      </c>
      <c r="AA11" s="15" t="s">
        <v>209</v>
      </c>
      <c r="AB11" s="15"/>
      <c r="AC11" s="15"/>
      <c r="AD11" s="15" t="s">
        <v>177</v>
      </c>
      <c r="AE11" s="26"/>
      <c r="AF11" s="27"/>
      <c r="AG11" s="27"/>
      <c r="AH11" s="27"/>
      <c r="AI11" s="26"/>
      <c r="AJ11" s="14" t="str">
        <f aca="false">IF(AE11="","",IF(AND(AE11=M11,ABS(N(AF11)-N(O11))&lt;=0.01,ABS(N(AG11)-N(P11))&lt;=0.01,ABS(N(AH11)-N(Q11))&lt;=0.01),"Y","N"))</f>
        <v/>
      </c>
      <c r="AK11" s="15"/>
      <c r="AL11" s="25"/>
      <c r="AM11" s="14" t="str">
        <f aca="false">IF(OR(AL11="",O11=""),"",IF(ABS(N(AL11)-N(O11))&lt;=0.01,"Y","N"))</f>
        <v/>
      </c>
      <c r="AN11" s="15" t="s">
        <v>11</v>
      </c>
      <c r="AO11" s="14" t="str">
        <f aca="false">IFERROR(INDEX(studies!$L:$L,MATCH($C11,studies!$A:$A,0)),"")</f>
        <v>Y</v>
      </c>
      <c r="AP11" s="14" t="str">
        <f aca="false">IF(AND(M11="REPORTED",V11=""),"출처 누락",IF(AND(M11="NOT_FOUND",AC11=""),"검색범위 누락",IF(F11="ARM",IF(OR(H11="",H11="NA"),"arm 누락","OK"),IF(F11="COMPARISON",IF(OR(I11="",I11="NA"),"비교쌍 누락",IF(OR(G11="",G11="NA"),"analysis_id 누락","OK")),IF(F11="","","OK")))))</f>
        <v>OK</v>
      </c>
      <c r="AQ11" s="15" t="s">
        <v>210</v>
      </c>
    </row>
    <row r="12" customFormat="false" ht="46.25" hidden="false" customHeight="false" outlineLevel="0" collapsed="false">
      <c r="A12" s="15" t="s">
        <v>211</v>
      </c>
      <c r="B12" s="15" t="s">
        <v>169</v>
      </c>
      <c r="C12" s="15" t="s">
        <v>80</v>
      </c>
      <c r="D12" s="15" t="s">
        <v>212</v>
      </c>
      <c r="E12" s="14" t="str">
        <f aca="false">IFERROR(INDEX(field_dictionary!$B:$B,MATCH($D12,field_dictionary!$A:$A,0)),"")</f>
        <v>IMMUNO</v>
      </c>
      <c r="F12" s="14" t="str">
        <f aca="false">IFERROR(INDEX(field_dictionary!$C:$C,MATCH($D12,field_dictionary!$A:$A,0)),"")</f>
        <v>STUDY</v>
      </c>
      <c r="G12" s="15" t="s">
        <v>155</v>
      </c>
      <c r="H12" s="15" t="s">
        <v>155</v>
      </c>
      <c r="I12" s="15" t="s">
        <v>155</v>
      </c>
      <c r="J12" s="15" t="s">
        <v>155</v>
      </c>
      <c r="K12" s="15"/>
      <c r="L12" s="15" t="s">
        <v>171</v>
      </c>
      <c r="M12" s="15" t="s">
        <v>62</v>
      </c>
      <c r="N12" s="15" t="s">
        <v>213</v>
      </c>
      <c r="O12" s="25"/>
      <c r="P12" s="25"/>
      <c r="Q12" s="25"/>
      <c r="R12" s="15"/>
      <c r="S12" s="15"/>
      <c r="T12" s="15"/>
      <c r="U12" s="15"/>
      <c r="V12" s="15" t="s">
        <v>173</v>
      </c>
      <c r="W12" s="15" t="n">
        <v>42</v>
      </c>
      <c r="X12" s="15" t="s">
        <v>214</v>
      </c>
      <c r="Y12" s="15" t="s">
        <v>215</v>
      </c>
      <c r="Z12" s="15" t="s">
        <v>163</v>
      </c>
      <c r="AA12" s="15" t="s">
        <v>216</v>
      </c>
      <c r="AB12" s="15" t="s">
        <v>217</v>
      </c>
      <c r="AC12" s="15"/>
      <c r="AD12" s="15" t="s">
        <v>177</v>
      </c>
      <c r="AE12" s="26"/>
      <c r="AF12" s="27"/>
      <c r="AG12" s="27"/>
      <c r="AH12" s="27"/>
      <c r="AI12" s="26"/>
      <c r="AJ12" s="14" t="str">
        <f aca="false">IF(AE12="","",IF(AND(AE12=M12,ABS(N(AF12)-N(O12))&lt;=0.01,ABS(N(AG12)-N(P12))&lt;=0.01,ABS(N(AH12)-N(Q12))&lt;=0.01),"Y","N"))</f>
        <v/>
      </c>
      <c r="AK12" s="15"/>
      <c r="AL12" s="25"/>
      <c r="AM12" s="14" t="str">
        <f aca="false">IF(OR(AL12="",O12=""),"",IF(ABS(N(AL12)-N(O12))&lt;=0.01,"Y","N"))</f>
        <v/>
      </c>
      <c r="AN12" s="15" t="s">
        <v>11</v>
      </c>
      <c r="AO12" s="14" t="str">
        <f aca="false">IFERROR(INDEX(studies!$L:$L,MATCH($C12,studies!$A:$A,0)),"")</f>
        <v>Y</v>
      </c>
      <c r="AP12" s="14" t="str">
        <f aca="false">IF(AND(M12="REPORTED",V12=""),"출처 누락",IF(AND(M12="NOT_FOUND",AC12=""),"검색범위 누락",IF(F12="ARM",IF(OR(H12="",H12="NA"),"arm 누락","OK"),IF(F12="COMPARISON",IF(OR(I12="",I12="NA"),"비교쌍 누락",IF(OR(G12="",G12="NA"),"analysis_id 누락","OK")),IF(F12="","","OK")))))</f>
        <v>OK</v>
      </c>
      <c r="AQ12" s="15"/>
    </row>
    <row r="13" customFormat="false" ht="23.85" hidden="false" customHeight="false" outlineLevel="0" collapsed="false">
      <c r="A13" s="15" t="s">
        <v>218</v>
      </c>
      <c r="B13" s="15" t="s">
        <v>169</v>
      </c>
      <c r="C13" s="15" t="s">
        <v>80</v>
      </c>
      <c r="D13" s="15" t="s">
        <v>219</v>
      </c>
      <c r="E13" s="14" t="str">
        <f aca="false">IFERROR(INDEX(field_dictionary!$B:$B,MATCH($D13,field_dictionary!$A:$A,0)),"")</f>
        <v>DESIGN</v>
      </c>
      <c r="F13" s="14" t="str">
        <f aca="false">IFERROR(INDEX(field_dictionary!$C:$C,MATCH($D13,field_dictionary!$A:$A,0)),"")</f>
        <v>ARM</v>
      </c>
      <c r="G13" s="15" t="s">
        <v>155</v>
      </c>
      <c r="H13" s="15" t="s">
        <v>220</v>
      </c>
      <c r="I13" s="15" t="s">
        <v>155</v>
      </c>
      <c r="J13" s="15" t="s">
        <v>221</v>
      </c>
      <c r="K13" s="15"/>
      <c r="L13" s="15" t="s">
        <v>171</v>
      </c>
      <c r="M13" s="15" t="s">
        <v>62</v>
      </c>
      <c r="N13" s="15" t="s">
        <v>222</v>
      </c>
      <c r="O13" s="25" t="n">
        <v>67</v>
      </c>
      <c r="P13" s="25"/>
      <c r="Q13" s="25"/>
      <c r="R13" s="13" t="s">
        <v>223</v>
      </c>
      <c r="S13" s="15"/>
      <c r="T13" s="15"/>
      <c r="U13" s="15"/>
      <c r="V13" s="15" t="s">
        <v>173</v>
      </c>
      <c r="W13" s="15" t="n">
        <v>42</v>
      </c>
      <c r="X13" s="15" t="s">
        <v>214</v>
      </c>
      <c r="Y13" s="15" t="s">
        <v>224</v>
      </c>
      <c r="Z13" s="15" t="s">
        <v>163</v>
      </c>
      <c r="AA13" s="15" t="s">
        <v>225</v>
      </c>
      <c r="AB13" s="15" t="s">
        <v>226</v>
      </c>
      <c r="AC13" s="15"/>
      <c r="AD13" s="15" t="s">
        <v>177</v>
      </c>
      <c r="AE13" s="26"/>
      <c r="AF13" s="27"/>
      <c r="AG13" s="27"/>
      <c r="AH13" s="27"/>
      <c r="AI13" s="26"/>
      <c r="AJ13" s="14" t="str">
        <f aca="false">IF(AE13="","",IF(AND(AE13=M13,ABS(N(AF13)-N(O13))&lt;=0.01,ABS(N(AG13)-N(P13))&lt;=0.01,ABS(N(AH13)-N(Q13))&lt;=0.01),"Y","N"))</f>
        <v/>
      </c>
      <c r="AK13" s="15"/>
      <c r="AL13" s="25"/>
      <c r="AM13" s="14" t="str">
        <f aca="false">IF(OR(AL13="",O13=""),"",IF(ABS(N(AL13)-N(O13))&lt;=0.01,"Y","N"))</f>
        <v/>
      </c>
      <c r="AN13" s="15" t="s">
        <v>11</v>
      </c>
      <c r="AO13" s="14" t="str">
        <f aca="false">IFERROR(INDEX(studies!$L:$L,MATCH($C13,studies!$A:$A,0)),"")</f>
        <v>Y</v>
      </c>
      <c r="AP13" s="14" t="str">
        <f aca="false">IF(AND(M13="REPORTED",V13=""),"출처 누락",IF(AND(M13="NOT_FOUND",AC13=""),"검색범위 누락",IF(F13="ARM",IF(OR(H13="",H13="NA"),"arm 누락","OK"),IF(F13="COMPARISON",IF(OR(I13="",I13="NA"),"비교쌍 누락",IF(OR(G13="",G13="NA"),"analysis_id 누락","OK")),IF(F13="","","OK")))))</f>
        <v>OK</v>
      </c>
      <c r="AQ13" s="15"/>
    </row>
    <row r="14" customFormat="false" ht="23.85" hidden="false" customHeight="false" outlineLevel="0" collapsed="false">
      <c r="A14" s="15" t="s">
        <v>227</v>
      </c>
      <c r="B14" s="15" t="s">
        <v>169</v>
      </c>
      <c r="C14" s="15" t="s">
        <v>80</v>
      </c>
      <c r="D14" s="15" t="s">
        <v>219</v>
      </c>
      <c r="E14" s="14" t="str">
        <f aca="false">IFERROR(INDEX(field_dictionary!$B:$B,MATCH($D14,field_dictionary!$A:$A,0)),"")</f>
        <v>DESIGN</v>
      </c>
      <c r="F14" s="14" t="str">
        <f aca="false">IFERROR(INDEX(field_dictionary!$C:$C,MATCH($D14,field_dictionary!$A:$A,0)),"")</f>
        <v>ARM</v>
      </c>
      <c r="G14" s="15" t="s">
        <v>155</v>
      </c>
      <c r="H14" s="15" t="s">
        <v>228</v>
      </c>
      <c r="I14" s="15" t="s">
        <v>155</v>
      </c>
      <c r="J14" s="15" t="s">
        <v>221</v>
      </c>
      <c r="K14" s="15"/>
      <c r="L14" s="15" t="s">
        <v>171</v>
      </c>
      <c r="M14" s="15" t="s">
        <v>62</v>
      </c>
      <c r="N14" s="15" t="s">
        <v>222</v>
      </c>
      <c r="O14" s="25" t="n">
        <v>67</v>
      </c>
      <c r="P14" s="25"/>
      <c r="Q14" s="25"/>
      <c r="R14" s="13" t="s">
        <v>223</v>
      </c>
      <c r="S14" s="15"/>
      <c r="T14" s="15"/>
      <c r="U14" s="15"/>
      <c r="V14" s="15" t="s">
        <v>173</v>
      </c>
      <c r="W14" s="15" t="n">
        <v>42</v>
      </c>
      <c r="X14" s="15" t="s">
        <v>214</v>
      </c>
      <c r="Y14" s="15" t="s">
        <v>224</v>
      </c>
      <c r="Z14" s="15" t="s">
        <v>163</v>
      </c>
      <c r="AA14" s="15" t="s">
        <v>225</v>
      </c>
      <c r="AB14" s="15" t="s">
        <v>226</v>
      </c>
      <c r="AC14" s="15"/>
      <c r="AD14" s="15" t="s">
        <v>177</v>
      </c>
      <c r="AE14" s="26"/>
      <c r="AF14" s="27"/>
      <c r="AG14" s="27"/>
      <c r="AH14" s="27"/>
      <c r="AI14" s="26"/>
      <c r="AJ14" s="14" t="str">
        <f aca="false">IF(AE14="","",IF(AND(AE14=M14,ABS(N(AF14)-N(O14))&lt;=0.01,ABS(N(AG14)-N(P14))&lt;=0.01,ABS(N(AH14)-N(Q14))&lt;=0.01),"Y","N"))</f>
        <v/>
      </c>
      <c r="AK14" s="15"/>
      <c r="AL14" s="25"/>
      <c r="AM14" s="14" t="str">
        <f aca="false">IF(OR(AL14="",O14=""),"",IF(ABS(N(AL14)-N(O14))&lt;=0.01,"Y","N"))</f>
        <v/>
      </c>
      <c r="AN14" s="15" t="s">
        <v>11</v>
      </c>
      <c r="AO14" s="14" t="str">
        <f aca="false">IFERROR(INDEX(studies!$L:$L,MATCH($C14,studies!$A:$A,0)),"")</f>
        <v>Y</v>
      </c>
      <c r="AP14" s="14" t="str">
        <f aca="false">IF(AND(M14="REPORTED",V14=""),"출처 누락",IF(AND(M14="NOT_FOUND",AC14=""),"검색범위 누락",IF(F14="ARM",IF(OR(H14="",H14="NA"),"arm 누락","OK"),IF(F14="COMPARISON",IF(OR(I14="",I14="NA"),"비교쌍 누락",IF(OR(G14="",G14="NA"),"analysis_id 누락","OK")),IF(F14="","","OK")))))</f>
        <v>OK</v>
      </c>
      <c r="AQ14" s="15"/>
    </row>
    <row r="15" customFormat="false" ht="23.85" hidden="false" customHeight="false" outlineLevel="0" collapsed="false">
      <c r="A15" s="15" t="s">
        <v>229</v>
      </c>
      <c r="B15" s="15" t="s">
        <v>169</v>
      </c>
      <c r="C15" s="15" t="s">
        <v>80</v>
      </c>
      <c r="D15" s="15" t="s">
        <v>219</v>
      </c>
      <c r="E15" s="14" t="str">
        <f aca="false">IFERROR(INDEX(field_dictionary!$B:$B,MATCH($D15,field_dictionary!$A:$A,0)),"")</f>
        <v>DESIGN</v>
      </c>
      <c r="F15" s="14" t="str">
        <f aca="false">IFERROR(INDEX(field_dictionary!$C:$C,MATCH($D15,field_dictionary!$A:$A,0)),"")</f>
        <v>ARM</v>
      </c>
      <c r="G15" s="15" t="s">
        <v>155</v>
      </c>
      <c r="H15" s="15" t="s">
        <v>230</v>
      </c>
      <c r="I15" s="15" t="s">
        <v>155</v>
      </c>
      <c r="J15" s="15" t="s">
        <v>221</v>
      </c>
      <c r="K15" s="15"/>
      <c r="L15" s="15" t="s">
        <v>171</v>
      </c>
      <c r="M15" s="15" t="s">
        <v>62</v>
      </c>
      <c r="N15" s="15" t="s">
        <v>222</v>
      </c>
      <c r="O15" s="25" t="n">
        <v>67</v>
      </c>
      <c r="P15" s="25"/>
      <c r="Q15" s="25"/>
      <c r="R15" s="13" t="s">
        <v>223</v>
      </c>
      <c r="S15" s="15"/>
      <c r="T15" s="15"/>
      <c r="U15" s="15"/>
      <c r="V15" s="15" t="s">
        <v>173</v>
      </c>
      <c r="W15" s="15" t="n">
        <v>42</v>
      </c>
      <c r="X15" s="15" t="s">
        <v>214</v>
      </c>
      <c r="Y15" s="15" t="s">
        <v>224</v>
      </c>
      <c r="Z15" s="15" t="s">
        <v>163</v>
      </c>
      <c r="AA15" s="15" t="s">
        <v>225</v>
      </c>
      <c r="AB15" s="15" t="s">
        <v>226</v>
      </c>
      <c r="AC15" s="15"/>
      <c r="AD15" s="15" t="s">
        <v>177</v>
      </c>
      <c r="AE15" s="26"/>
      <c r="AF15" s="27"/>
      <c r="AG15" s="27"/>
      <c r="AH15" s="27"/>
      <c r="AI15" s="26"/>
      <c r="AJ15" s="14" t="str">
        <f aca="false">IF(AE15="","",IF(AND(AE15=M15,ABS(N(AF15)-N(O15))&lt;=0.01,ABS(N(AG15)-N(P15))&lt;=0.01,ABS(N(AH15)-N(Q15))&lt;=0.01),"Y","N"))</f>
        <v/>
      </c>
      <c r="AK15" s="15"/>
      <c r="AL15" s="25"/>
      <c r="AM15" s="14" t="str">
        <f aca="false">IF(OR(AL15="",O15=""),"",IF(ABS(N(AL15)-N(O15))&lt;=0.01,"Y","N"))</f>
        <v/>
      </c>
      <c r="AN15" s="15" t="s">
        <v>11</v>
      </c>
      <c r="AO15" s="14" t="str">
        <f aca="false">IFERROR(INDEX(studies!$L:$L,MATCH($C15,studies!$A:$A,0)),"")</f>
        <v>Y</v>
      </c>
      <c r="AP15" s="14" t="str">
        <f aca="false">IF(AND(M15="REPORTED",V15=""),"출처 누락",IF(AND(M15="NOT_FOUND",AC15=""),"검색범위 누락",IF(F15="ARM",IF(OR(H15="",H15="NA"),"arm 누락","OK"),IF(F15="COMPARISON",IF(OR(I15="",I15="NA"),"비교쌍 누락",IF(OR(G15="",G15="NA"),"analysis_id 누락","OK")),IF(F15="","","OK")))))</f>
        <v>OK</v>
      </c>
      <c r="AQ15" s="15"/>
    </row>
    <row r="16" customFormat="false" ht="29.85" hidden="false" customHeight="false" outlineLevel="0" collapsed="false">
      <c r="A16" s="15" t="s">
        <v>231</v>
      </c>
      <c r="B16" s="15" t="s">
        <v>169</v>
      </c>
      <c r="C16" s="15" t="s">
        <v>80</v>
      </c>
      <c r="D16" s="15" t="s">
        <v>232</v>
      </c>
      <c r="E16" s="14" t="str">
        <f aca="false">IFERROR(INDEX(field_dictionary!$B:$B,MATCH($D16,field_dictionary!$A:$A,0)),"")</f>
        <v>DESIGN</v>
      </c>
      <c r="F16" s="14" t="str">
        <f aca="false">IFERROR(INDEX(field_dictionary!$C:$C,MATCH($D16,field_dictionary!$A:$A,0)),"")</f>
        <v>ARM</v>
      </c>
      <c r="G16" s="15" t="s">
        <v>155</v>
      </c>
      <c r="H16" s="15" t="s">
        <v>220</v>
      </c>
      <c r="I16" s="15" t="s">
        <v>155</v>
      </c>
      <c r="J16" s="15" t="s">
        <v>233</v>
      </c>
      <c r="K16" s="15"/>
      <c r="L16" s="15" t="s">
        <v>171</v>
      </c>
      <c r="M16" s="15" t="s">
        <v>62</v>
      </c>
      <c r="N16" s="15" t="s">
        <v>222</v>
      </c>
      <c r="O16" s="25" t="n">
        <v>67</v>
      </c>
      <c r="P16" s="25"/>
      <c r="Q16" s="25"/>
      <c r="R16" s="13" t="s">
        <v>223</v>
      </c>
      <c r="S16" s="15"/>
      <c r="T16" s="15"/>
      <c r="U16" s="15"/>
      <c r="V16" s="15" t="s">
        <v>173</v>
      </c>
      <c r="W16" s="15" t="n">
        <v>42</v>
      </c>
      <c r="X16" s="15" t="s">
        <v>214</v>
      </c>
      <c r="Y16" s="15" t="s">
        <v>224</v>
      </c>
      <c r="Z16" s="15" t="s">
        <v>163</v>
      </c>
      <c r="AA16" s="15" t="s">
        <v>234</v>
      </c>
      <c r="AB16" s="15" t="s">
        <v>235</v>
      </c>
      <c r="AC16" s="15"/>
      <c r="AD16" s="15" t="s">
        <v>177</v>
      </c>
      <c r="AE16" s="26"/>
      <c r="AF16" s="27"/>
      <c r="AG16" s="27"/>
      <c r="AH16" s="27"/>
      <c r="AI16" s="26"/>
      <c r="AJ16" s="14" t="str">
        <f aca="false">IF(AE16="","",IF(AND(AE16=M16,ABS(N(AF16)-N(O16))&lt;=0.01,ABS(N(AG16)-N(P16))&lt;=0.01,ABS(N(AH16)-N(Q16))&lt;=0.01),"Y","N"))</f>
        <v/>
      </c>
      <c r="AK16" s="15"/>
      <c r="AL16" s="25"/>
      <c r="AM16" s="14" t="str">
        <f aca="false">IF(OR(AL16="",O16=""),"",IF(ABS(N(AL16)-N(O16))&lt;=0.01,"Y","N"))</f>
        <v/>
      </c>
      <c r="AN16" s="15" t="s">
        <v>11</v>
      </c>
      <c r="AO16" s="14" t="str">
        <f aca="false">IFERROR(INDEX(studies!$L:$L,MATCH($C16,studies!$A:$A,0)),"")</f>
        <v>Y</v>
      </c>
      <c r="AP16" s="14" t="str">
        <f aca="false">IF(AND(M16="REPORTED",V16=""),"출처 누락",IF(AND(M16="NOT_FOUND",AC16=""),"검색범위 누락",IF(F16="ARM",IF(OR(H16="",H16="NA"),"arm 누락","OK"),IF(F16="COMPARISON",IF(OR(I16="",I16="NA"),"비교쌍 누락",IF(OR(G16="",G16="NA"),"analysis_id 누락","OK")),IF(F16="","","OK")))))</f>
        <v>OK</v>
      </c>
      <c r="AQ16" s="15" t="s">
        <v>236</v>
      </c>
    </row>
    <row r="17" customFormat="false" ht="29.85" hidden="false" customHeight="false" outlineLevel="0" collapsed="false">
      <c r="A17" s="15" t="s">
        <v>237</v>
      </c>
      <c r="B17" s="15" t="s">
        <v>169</v>
      </c>
      <c r="C17" s="15" t="s">
        <v>80</v>
      </c>
      <c r="D17" s="15" t="s">
        <v>232</v>
      </c>
      <c r="E17" s="14" t="str">
        <f aca="false">IFERROR(INDEX(field_dictionary!$B:$B,MATCH($D17,field_dictionary!$A:$A,0)),"")</f>
        <v>DESIGN</v>
      </c>
      <c r="F17" s="14" t="str">
        <f aca="false">IFERROR(INDEX(field_dictionary!$C:$C,MATCH($D17,field_dictionary!$A:$A,0)),"")</f>
        <v>ARM</v>
      </c>
      <c r="G17" s="15" t="s">
        <v>155</v>
      </c>
      <c r="H17" s="15" t="s">
        <v>228</v>
      </c>
      <c r="I17" s="15" t="s">
        <v>155</v>
      </c>
      <c r="J17" s="15" t="s">
        <v>233</v>
      </c>
      <c r="K17" s="15"/>
      <c r="L17" s="15" t="s">
        <v>171</v>
      </c>
      <c r="M17" s="15" t="s">
        <v>62</v>
      </c>
      <c r="N17" s="15" t="s">
        <v>222</v>
      </c>
      <c r="O17" s="25" t="n">
        <v>67</v>
      </c>
      <c r="P17" s="25"/>
      <c r="Q17" s="25"/>
      <c r="R17" s="13" t="s">
        <v>223</v>
      </c>
      <c r="S17" s="15"/>
      <c r="T17" s="15"/>
      <c r="U17" s="15"/>
      <c r="V17" s="15" t="s">
        <v>173</v>
      </c>
      <c r="W17" s="15" t="n">
        <v>42</v>
      </c>
      <c r="X17" s="15" t="s">
        <v>214</v>
      </c>
      <c r="Y17" s="15" t="s">
        <v>224</v>
      </c>
      <c r="Z17" s="15" t="s">
        <v>163</v>
      </c>
      <c r="AA17" s="15" t="s">
        <v>234</v>
      </c>
      <c r="AB17" s="15" t="s">
        <v>235</v>
      </c>
      <c r="AC17" s="15"/>
      <c r="AD17" s="15" t="s">
        <v>177</v>
      </c>
      <c r="AE17" s="26"/>
      <c r="AF17" s="27"/>
      <c r="AG17" s="27"/>
      <c r="AH17" s="27"/>
      <c r="AI17" s="26"/>
      <c r="AJ17" s="14" t="str">
        <f aca="false">IF(AE17="","",IF(AND(AE17=M17,ABS(N(AF17)-N(O17))&lt;=0.01,ABS(N(AG17)-N(P17))&lt;=0.01,ABS(N(AH17)-N(Q17))&lt;=0.01),"Y","N"))</f>
        <v/>
      </c>
      <c r="AK17" s="15"/>
      <c r="AL17" s="25"/>
      <c r="AM17" s="14" t="str">
        <f aca="false">IF(OR(AL17="",O17=""),"",IF(ABS(N(AL17)-N(O17))&lt;=0.01,"Y","N"))</f>
        <v/>
      </c>
      <c r="AN17" s="15" t="s">
        <v>11</v>
      </c>
      <c r="AO17" s="14" t="str">
        <f aca="false">IFERROR(INDEX(studies!$L:$L,MATCH($C17,studies!$A:$A,0)),"")</f>
        <v>Y</v>
      </c>
      <c r="AP17" s="14" t="str">
        <f aca="false">IF(AND(M17="REPORTED",V17=""),"출처 누락",IF(AND(M17="NOT_FOUND",AC17=""),"검색범위 누락",IF(F17="ARM",IF(OR(H17="",H17="NA"),"arm 누락","OK"),IF(F17="COMPARISON",IF(OR(I17="",I17="NA"),"비교쌍 누락",IF(OR(G17="",G17="NA"),"analysis_id 누락","OK")),IF(F17="","","OK")))))</f>
        <v>OK</v>
      </c>
      <c r="AQ17" s="15" t="s">
        <v>236</v>
      </c>
    </row>
    <row r="18" customFormat="false" ht="29.85" hidden="false" customHeight="false" outlineLevel="0" collapsed="false">
      <c r="A18" s="15" t="s">
        <v>238</v>
      </c>
      <c r="B18" s="15" t="s">
        <v>169</v>
      </c>
      <c r="C18" s="15" t="s">
        <v>80</v>
      </c>
      <c r="D18" s="15" t="s">
        <v>232</v>
      </c>
      <c r="E18" s="14" t="str">
        <f aca="false">IFERROR(INDEX(field_dictionary!$B:$B,MATCH($D18,field_dictionary!$A:$A,0)),"")</f>
        <v>DESIGN</v>
      </c>
      <c r="F18" s="14" t="str">
        <f aca="false">IFERROR(INDEX(field_dictionary!$C:$C,MATCH($D18,field_dictionary!$A:$A,0)),"")</f>
        <v>ARM</v>
      </c>
      <c r="G18" s="15" t="s">
        <v>155</v>
      </c>
      <c r="H18" s="15" t="s">
        <v>230</v>
      </c>
      <c r="I18" s="15" t="s">
        <v>155</v>
      </c>
      <c r="J18" s="15" t="s">
        <v>233</v>
      </c>
      <c r="K18" s="15"/>
      <c r="L18" s="15" t="s">
        <v>171</v>
      </c>
      <c r="M18" s="15" t="s">
        <v>62</v>
      </c>
      <c r="N18" s="15" t="s">
        <v>222</v>
      </c>
      <c r="O18" s="25" t="n">
        <v>67</v>
      </c>
      <c r="P18" s="25"/>
      <c r="Q18" s="25"/>
      <c r="R18" s="13" t="s">
        <v>223</v>
      </c>
      <c r="S18" s="15"/>
      <c r="T18" s="15"/>
      <c r="U18" s="15"/>
      <c r="V18" s="15" t="s">
        <v>173</v>
      </c>
      <c r="W18" s="15" t="n">
        <v>42</v>
      </c>
      <c r="X18" s="15" t="s">
        <v>214</v>
      </c>
      <c r="Y18" s="15" t="s">
        <v>224</v>
      </c>
      <c r="Z18" s="15" t="s">
        <v>163</v>
      </c>
      <c r="AA18" s="15" t="s">
        <v>234</v>
      </c>
      <c r="AB18" s="15" t="s">
        <v>235</v>
      </c>
      <c r="AC18" s="15"/>
      <c r="AD18" s="15" t="s">
        <v>177</v>
      </c>
      <c r="AE18" s="26"/>
      <c r="AF18" s="27"/>
      <c r="AG18" s="27"/>
      <c r="AH18" s="27"/>
      <c r="AI18" s="26"/>
      <c r="AJ18" s="14" t="str">
        <f aca="false">IF(AE18="","",IF(AND(AE18=M18,ABS(N(AF18)-N(O18))&lt;=0.01,ABS(N(AG18)-N(P18))&lt;=0.01,ABS(N(AH18)-N(Q18))&lt;=0.01),"Y","N"))</f>
        <v/>
      </c>
      <c r="AK18" s="15"/>
      <c r="AL18" s="25"/>
      <c r="AM18" s="14" t="str">
        <f aca="false">IF(OR(AL18="",O18=""),"",IF(ABS(N(AL18)-N(O18))&lt;=0.01,"Y","N"))</f>
        <v/>
      </c>
      <c r="AN18" s="15" t="s">
        <v>11</v>
      </c>
      <c r="AO18" s="14" t="str">
        <f aca="false">IFERROR(INDEX(studies!$L:$L,MATCH($C18,studies!$A:$A,0)),"")</f>
        <v>Y</v>
      </c>
      <c r="AP18" s="14" t="str">
        <f aca="false">IF(AND(M18="REPORTED",V18=""),"출처 누락",IF(AND(M18="NOT_FOUND",AC18=""),"검색범위 누락",IF(F18="ARM",IF(OR(H18="",H18="NA"),"arm 누락","OK"),IF(F18="COMPARISON",IF(OR(I18="",I18="NA"),"비교쌍 누락",IF(OR(G18="",G18="NA"),"analysis_id 누락","OK")),IF(F18="","","OK")))))</f>
        <v>OK</v>
      </c>
      <c r="AQ18" s="15" t="s">
        <v>236</v>
      </c>
    </row>
    <row r="19" customFormat="false" ht="35.05" hidden="false" customHeight="false" outlineLevel="0" collapsed="false">
      <c r="A19" s="15" t="s">
        <v>239</v>
      </c>
      <c r="B19" s="15" t="s">
        <v>169</v>
      </c>
      <c r="C19" s="15" t="s">
        <v>80</v>
      </c>
      <c r="D19" s="15" t="s">
        <v>240</v>
      </c>
      <c r="E19" s="14" t="str">
        <f aca="false">IFERROR(INDEX(field_dictionary!$B:$B,MATCH($D19,field_dictionary!$A:$A,0)),"")</f>
        <v>IMMUNO</v>
      </c>
      <c r="F19" s="14" t="str">
        <f aca="false">IFERROR(INDEX(field_dictionary!$C:$C,MATCH($D19,field_dictionary!$A:$A,0)),"")</f>
        <v>ARM</v>
      </c>
      <c r="G19" s="15" t="s">
        <v>241</v>
      </c>
      <c r="H19" s="15" t="s">
        <v>220</v>
      </c>
      <c r="I19" s="15" t="s">
        <v>155</v>
      </c>
      <c r="J19" s="15" t="s">
        <v>242</v>
      </c>
      <c r="K19" s="15" t="s">
        <v>243</v>
      </c>
      <c r="L19" s="15" t="s">
        <v>171</v>
      </c>
      <c r="M19" s="15" t="s">
        <v>62</v>
      </c>
      <c r="N19" s="15" t="s">
        <v>244</v>
      </c>
      <c r="O19" s="25" t="n">
        <v>26.9</v>
      </c>
      <c r="P19" s="25"/>
      <c r="Q19" s="25"/>
      <c r="R19" s="15" t="s">
        <v>160</v>
      </c>
      <c r="S19" s="15"/>
      <c r="T19" s="15"/>
      <c r="U19" s="15" t="s">
        <v>245</v>
      </c>
      <c r="V19" s="15" t="s">
        <v>173</v>
      </c>
      <c r="W19" s="15" t="n">
        <v>50</v>
      </c>
      <c r="X19" s="15" t="s">
        <v>246</v>
      </c>
      <c r="Y19" s="15" t="s">
        <v>247</v>
      </c>
      <c r="Z19" s="15" t="s">
        <v>163</v>
      </c>
      <c r="AA19" s="15" t="s">
        <v>248</v>
      </c>
      <c r="AB19" s="15" t="s">
        <v>249</v>
      </c>
      <c r="AC19" s="15"/>
      <c r="AD19" s="15" t="s">
        <v>177</v>
      </c>
      <c r="AE19" s="26"/>
      <c r="AF19" s="27"/>
      <c r="AG19" s="27"/>
      <c r="AH19" s="27"/>
      <c r="AI19" s="26"/>
      <c r="AJ19" s="14" t="str">
        <f aca="false">IF(AE19="","",IF(AND(AE19=M19,ABS(N(AF19)-N(O19))&lt;=0.01,ABS(N(AG19)-N(P19))&lt;=0.01,ABS(N(AH19)-N(Q19))&lt;=0.01),"Y","N"))</f>
        <v/>
      </c>
      <c r="AK19" s="15"/>
      <c r="AL19" s="25"/>
      <c r="AM19" s="14" t="str">
        <f aca="false">IF(OR(AL19="",O19=""),"",IF(ABS(N(AL19)-N(O19))&lt;=0.01,"Y","N"))</f>
        <v/>
      </c>
      <c r="AN19" s="15" t="s">
        <v>11</v>
      </c>
      <c r="AO19" s="14" t="str">
        <f aca="false">IFERROR(INDEX(studies!$L:$L,MATCH($C19,studies!$A:$A,0)),"")</f>
        <v>Y</v>
      </c>
      <c r="AP19" s="14" t="str">
        <f aca="false">IF(AND(M19="REPORTED",V19=""),"출처 누락",IF(AND(M19="NOT_FOUND",AC19=""),"검색범위 누락",IF(F19="ARM",IF(OR(H19="",H19="NA"),"arm 누락","OK"),IF(F19="COMPARISON",IF(OR(I19="",I19="NA"),"비교쌍 누락",IF(OR(G19="",G19="NA"),"analysis_id 누락","OK")),IF(F19="","","OK")))))</f>
        <v>OK</v>
      </c>
      <c r="AQ19" s="13" t="s">
        <v>250</v>
      </c>
    </row>
    <row r="20" customFormat="false" ht="35.05" hidden="false" customHeight="false" outlineLevel="0" collapsed="false">
      <c r="A20" s="15" t="s">
        <v>251</v>
      </c>
      <c r="B20" s="15" t="s">
        <v>169</v>
      </c>
      <c r="C20" s="15" t="s">
        <v>80</v>
      </c>
      <c r="D20" s="15" t="s">
        <v>240</v>
      </c>
      <c r="E20" s="14" t="str">
        <f aca="false">IFERROR(INDEX(field_dictionary!$B:$B,MATCH($D20,field_dictionary!$A:$A,0)),"")</f>
        <v>IMMUNO</v>
      </c>
      <c r="F20" s="14" t="str">
        <f aca="false">IFERROR(INDEX(field_dictionary!$C:$C,MATCH($D20,field_dictionary!$A:$A,0)),"")</f>
        <v>ARM</v>
      </c>
      <c r="G20" s="15" t="s">
        <v>241</v>
      </c>
      <c r="H20" s="15" t="s">
        <v>228</v>
      </c>
      <c r="I20" s="15" t="s">
        <v>155</v>
      </c>
      <c r="J20" s="15" t="s">
        <v>242</v>
      </c>
      <c r="K20" s="15" t="s">
        <v>243</v>
      </c>
      <c r="L20" s="15" t="s">
        <v>171</v>
      </c>
      <c r="M20" s="15" t="s">
        <v>62</v>
      </c>
      <c r="N20" s="15" t="s">
        <v>252</v>
      </c>
      <c r="O20" s="25" t="n">
        <v>34.3</v>
      </c>
      <c r="P20" s="25"/>
      <c r="Q20" s="25"/>
      <c r="R20" s="15" t="s">
        <v>160</v>
      </c>
      <c r="S20" s="15"/>
      <c r="T20" s="15"/>
      <c r="U20" s="15" t="s">
        <v>245</v>
      </c>
      <c r="V20" s="15" t="s">
        <v>173</v>
      </c>
      <c r="W20" s="15" t="n">
        <v>50</v>
      </c>
      <c r="X20" s="15" t="s">
        <v>246</v>
      </c>
      <c r="Y20" s="15" t="s">
        <v>247</v>
      </c>
      <c r="Z20" s="15" t="s">
        <v>163</v>
      </c>
      <c r="AA20" s="15" t="s">
        <v>248</v>
      </c>
      <c r="AB20" s="15" t="s">
        <v>249</v>
      </c>
      <c r="AC20" s="15"/>
      <c r="AD20" s="15" t="s">
        <v>177</v>
      </c>
      <c r="AE20" s="26"/>
      <c r="AF20" s="27"/>
      <c r="AG20" s="27"/>
      <c r="AH20" s="27"/>
      <c r="AI20" s="26"/>
      <c r="AJ20" s="14" t="str">
        <f aca="false">IF(AE20="","",IF(AND(AE20=M20,ABS(N(AF20)-N(O20))&lt;=0.01,ABS(N(AG20)-N(P20))&lt;=0.01,ABS(N(AH20)-N(Q20))&lt;=0.01),"Y","N"))</f>
        <v/>
      </c>
      <c r="AK20" s="15"/>
      <c r="AL20" s="25"/>
      <c r="AM20" s="14" t="str">
        <f aca="false">IF(OR(AL20="",O20=""),"",IF(ABS(N(AL20)-N(O20))&lt;=0.01,"Y","N"))</f>
        <v/>
      </c>
      <c r="AN20" s="15" t="s">
        <v>11</v>
      </c>
      <c r="AO20" s="14" t="str">
        <f aca="false">IFERROR(INDEX(studies!$L:$L,MATCH($C20,studies!$A:$A,0)),"")</f>
        <v>Y</v>
      </c>
      <c r="AP20" s="14" t="str">
        <f aca="false">IF(AND(M20="REPORTED",V20=""),"출처 누락",IF(AND(M20="NOT_FOUND",AC20=""),"검색범위 누락",IF(F20="ARM",IF(OR(H20="",H20="NA"),"arm 누락","OK"),IF(F20="COMPARISON",IF(OR(I20="",I20="NA"),"비교쌍 누락",IF(OR(G20="",G20="NA"),"analysis_id 누락","OK")),IF(F20="","","OK")))))</f>
        <v>OK</v>
      </c>
      <c r="AQ20" s="13" t="s">
        <v>250</v>
      </c>
    </row>
    <row r="21" customFormat="false" ht="35.05" hidden="false" customHeight="false" outlineLevel="0" collapsed="false">
      <c r="A21" s="15" t="s">
        <v>253</v>
      </c>
      <c r="B21" s="15" t="s">
        <v>169</v>
      </c>
      <c r="C21" s="15" t="s">
        <v>80</v>
      </c>
      <c r="D21" s="15" t="s">
        <v>240</v>
      </c>
      <c r="E21" s="14" t="str">
        <f aca="false">IFERROR(INDEX(field_dictionary!$B:$B,MATCH($D21,field_dictionary!$A:$A,0)),"")</f>
        <v>IMMUNO</v>
      </c>
      <c r="F21" s="14" t="str">
        <f aca="false">IFERROR(INDEX(field_dictionary!$C:$C,MATCH($D21,field_dictionary!$A:$A,0)),"")</f>
        <v>ARM</v>
      </c>
      <c r="G21" s="15" t="s">
        <v>241</v>
      </c>
      <c r="H21" s="15" t="s">
        <v>230</v>
      </c>
      <c r="I21" s="15" t="s">
        <v>155</v>
      </c>
      <c r="J21" s="15" t="s">
        <v>242</v>
      </c>
      <c r="K21" s="15" t="s">
        <v>243</v>
      </c>
      <c r="L21" s="15" t="s">
        <v>171</v>
      </c>
      <c r="M21" s="15" t="s">
        <v>62</v>
      </c>
      <c r="N21" s="15" t="s">
        <v>252</v>
      </c>
      <c r="O21" s="25" t="n">
        <v>34.3</v>
      </c>
      <c r="P21" s="25"/>
      <c r="Q21" s="25"/>
      <c r="R21" s="15" t="s">
        <v>160</v>
      </c>
      <c r="S21" s="15"/>
      <c r="T21" s="15"/>
      <c r="U21" s="15" t="s">
        <v>245</v>
      </c>
      <c r="V21" s="15" t="s">
        <v>173</v>
      </c>
      <c r="W21" s="15" t="n">
        <v>50</v>
      </c>
      <c r="X21" s="15" t="s">
        <v>246</v>
      </c>
      <c r="Y21" s="15" t="s">
        <v>247</v>
      </c>
      <c r="Z21" s="15" t="s">
        <v>163</v>
      </c>
      <c r="AA21" s="15" t="s">
        <v>248</v>
      </c>
      <c r="AB21" s="15" t="s">
        <v>249</v>
      </c>
      <c r="AC21" s="15"/>
      <c r="AD21" s="15" t="s">
        <v>177</v>
      </c>
      <c r="AE21" s="26"/>
      <c r="AF21" s="27"/>
      <c r="AG21" s="27"/>
      <c r="AH21" s="27"/>
      <c r="AI21" s="26"/>
      <c r="AJ21" s="14" t="str">
        <f aca="false">IF(AE21="","",IF(AND(AE21=M21,ABS(N(AF21)-N(O21))&lt;=0.01,ABS(N(AG21)-N(P21))&lt;=0.01,ABS(N(AH21)-N(Q21))&lt;=0.01),"Y","N"))</f>
        <v/>
      </c>
      <c r="AK21" s="15"/>
      <c r="AL21" s="25"/>
      <c r="AM21" s="14" t="str">
        <f aca="false">IF(OR(AL21="",O21=""),"",IF(ABS(N(AL21)-N(O21))&lt;=0.01,"Y","N"))</f>
        <v/>
      </c>
      <c r="AN21" s="15" t="s">
        <v>11</v>
      </c>
      <c r="AO21" s="14" t="str">
        <f aca="false">IFERROR(INDEX(studies!$L:$L,MATCH($C21,studies!$A:$A,0)),"")</f>
        <v>Y</v>
      </c>
      <c r="AP21" s="14" t="str">
        <f aca="false">IF(AND(M21="REPORTED",V21=""),"출처 누락",IF(AND(M21="NOT_FOUND",AC21=""),"검색범위 누락",IF(F21="ARM",IF(OR(H21="",H21="NA"),"arm 누락","OK"),IF(F21="COMPARISON",IF(OR(I21="",I21="NA"),"비교쌍 누락",IF(OR(G21="",G21="NA"),"analysis_id 누락","OK")),IF(F21="","","OK")))))</f>
        <v>OK</v>
      </c>
      <c r="AQ21" s="13" t="s">
        <v>250</v>
      </c>
    </row>
    <row r="22" customFormat="false" ht="58.2" hidden="false" customHeight="false" outlineLevel="0" collapsed="false">
      <c r="A22" s="15" t="s">
        <v>254</v>
      </c>
      <c r="B22" s="15" t="s">
        <v>169</v>
      </c>
      <c r="C22" s="15" t="s">
        <v>80</v>
      </c>
      <c r="D22" s="15" t="s">
        <v>255</v>
      </c>
      <c r="E22" s="14" t="str">
        <f aca="false">IFERROR(INDEX(field_dictionary!$B:$B,MATCH($D22,field_dictionary!$A:$A,0)),"")</f>
        <v>IMMUNO</v>
      </c>
      <c r="F22" s="14" t="str">
        <f aca="false">IFERROR(INDEX(field_dictionary!$C:$C,MATCH($D22,field_dictionary!$A:$A,0)),"")</f>
        <v>ARM</v>
      </c>
      <c r="G22" s="15" t="s">
        <v>256</v>
      </c>
      <c r="H22" s="15" t="s">
        <v>220</v>
      </c>
      <c r="I22" s="15" t="s">
        <v>155</v>
      </c>
      <c r="J22" s="15" t="s">
        <v>242</v>
      </c>
      <c r="K22" s="15" t="s">
        <v>257</v>
      </c>
      <c r="L22" s="15" t="s">
        <v>171</v>
      </c>
      <c r="M22" s="15" t="s">
        <v>66</v>
      </c>
      <c r="N22" s="15"/>
      <c r="O22" s="25"/>
      <c r="P22" s="25"/>
      <c r="Q22" s="25"/>
      <c r="R22" s="15"/>
      <c r="S22" s="15"/>
      <c r="T22" s="15"/>
      <c r="U22" s="15"/>
      <c r="V22" s="15" t="s">
        <v>173</v>
      </c>
      <c r="W22" s="15"/>
      <c r="X22" s="15"/>
      <c r="Y22" s="15"/>
      <c r="Z22" s="15"/>
      <c r="AA22" s="15"/>
      <c r="AB22" s="15"/>
      <c r="AC22" s="15" t="s">
        <v>258</v>
      </c>
      <c r="AD22" s="15" t="s">
        <v>259</v>
      </c>
      <c r="AE22" s="26"/>
      <c r="AF22" s="27"/>
      <c r="AG22" s="27"/>
      <c r="AH22" s="27"/>
      <c r="AI22" s="26"/>
      <c r="AJ22" s="14" t="str">
        <f aca="false">IF(AE22="","",IF(AND(AE22=M22,ABS(N(AF22)-N(O22))&lt;=0.01,ABS(N(AG22)-N(P22))&lt;=0.01,ABS(N(AH22)-N(Q22))&lt;=0.01),"Y","N"))</f>
        <v/>
      </c>
      <c r="AK22" s="15"/>
      <c r="AL22" s="25"/>
      <c r="AM22" s="14" t="str">
        <f aca="false">IF(OR(AL22="",O22=""),"",IF(ABS(N(AL22)-N(O22))&lt;=0.01,"Y","N"))</f>
        <v/>
      </c>
      <c r="AN22" s="15" t="s">
        <v>11</v>
      </c>
      <c r="AO22" s="14" t="str">
        <f aca="false">IFERROR(INDEX(studies!$L:$L,MATCH($C22,studies!$A:$A,0)),"")</f>
        <v>Y</v>
      </c>
      <c r="AP22" s="14" t="str">
        <f aca="false">IF(AND(M22="REPORTED",V22=""),"출처 누락",IF(AND(M22="NOT_FOUND",AC22=""),"검색범위 누락",IF(F22="ARM",IF(OR(H22="",H22="NA"),"arm 누락","OK"),IF(F22="COMPARISON",IF(OR(I22="",I22="NA"),"비교쌍 누락",IF(OR(G22="",G22="NA"),"analysis_id 누락","OK")),IF(F22="","","OK")))))</f>
        <v>OK</v>
      </c>
      <c r="AQ22" s="15" t="s">
        <v>260</v>
      </c>
    </row>
    <row r="23" customFormat="false" ht="58.2" hidden="false" customHeight="false" outlineLevel="0" collapsed="false">
      <c r="A23" s="15" t="s">
        <v>261</v>
      </c>
      <c r="B23" s="15" t="s">
        <v>169</v>
      </c>
      <c r="C23" s="15" t="s">
        <v>80</v>
      </c>
      <c r="D23" s="15" t="s">
        <v>255</v>
      </c>
      <c r="E23" s="14" t="str">
        <f aca="false">IFERROR(INDEX(field_dictionary!$B:$B,MATCH($D23,field_dictionary!$A:$A,0)),"")</f>
        <v>IMMUNO</v>
      </c>
      <c r="F23" s="14" t="str">
        <f aca="false">IFERROR(INDEX(field_dictionary!$C:$C,MATCH($D23,field_dictionary!$A:$A,0)),"")</f>
        <v>ARM</v>
      </c>
      <c r="G23" s="15" t="s">
        <v>256</v>
      </c>
      <c r="H23" s="15" t="s">
        <v>228</v>
      </c>
      <c r="I23" s="15" t="s">
        <v>155</v>
      </c>
      <c r="J23" s="15" t="s">
        <v>242</v>
      </c>
      <c r="K23" s="15" t="s">
        <v>257</v>
      </c>
      <c r="L23" s="15" t="s">
        <v>171</v>
      </c>
      <c r="M23" s="15" t="s">
        <v>66</v>
      </c>
      <c r="N23" s="15"/>
      <c r="O23" s="25"/>
      <c r="P23" s="25"/>
      <c r="Q23" s="25"/>
      <c r="R23" s="15"/>
      <c r="S23" s="15"/>
      <c r="T23" s="15"/>
      <c r="U23" s="15"/>
      <c r="V23" s="15" t="s">
        <v>173</v>
      </c>
      <c r="W23" s="15"/>
      <c r="X23" s="15"/>
      <c r="Y23" s="15"/>
      <c r="Z23" s="15"/>
      <c r="AA23" s="15"/>
      <c r="AB23" s="15"/>
      <c r="AC23" s="15" t="s">
        <v>258</v>
      </c>
      <c r="AD23" s="15" t="s">
        <v>259</v>
      </c>
      <c r="AE23" s="26"/>
      <c r="AF23" s="27"/>
      <c r="AG23" s="27"/>
      <c r="AH23" s="27"/>
      <c r="AI23" s="26"/>
      <c r="AJ23" s="14" t="str">
        <f aca="false">IF(AE23="","",IF(AND(AE23=M23,ABS(N(AF23)-N(O23))&lt;=0.01,ABS(N(AG23)-N(P23))&lt;=0.01,ABS(N(AH23)-N(Q23))&lt;=0.01),"Y","N"))</f>
        <v/>
      </c>
      <c r="AK23" s="15"/>
      <c r="AL23" s="25"/>
      <c r="AM23" s="14" t="str">
        <f aca="false">IF(OR(AL23="",O23=""),"",IF(ABS(N(AL23)-N(O23))&lt;=0.01,"Y","N"))</f>
        <v/>
      </c>
      <c r="AN23" s="15" t="s">
        <v>11</v>
      </c>
      <c r="AO23" s="14" t="str">
        <f aca="false">IFERROR(INDEX(studies!$L:$L,MATCH($C23,studies!$A:$A,0)),"")</f>
        <v>Y</v>
      </c>
      <c r="AP23" s="14" t="str">
        <f aca="false">IF(AND(M23="REPORTED",V23=""),"출처 누락",IF(AND(M23="NOT_FOUND",AC23=""),"검색범위 누락",IF(F23="ARM",IF(OR(H23="",H23="NA"),"arm 누락","OK"),IF(F23="COMPARISON",IF(OR(I23="",I23="NA"),"비교쌍 누락",IF(OR(G23="",G23="NA"),"analysis_id 누락","OK")),IF(F23="","","OK")))))</f>
        <v>OK</v>
      </c>
      <c r="AQ23" s="15" t="s">
        <v>260</v>
      </c>
    </row>
    <row r="24" customFormat="false" ht="58.2" hidden="false" customHeight="false" outlineLevel="0" collapsed="false">
      <c r="A24" s="15" t="s">
        <v>262</v>
      </c>
      <c r="B24" s="15" t="s">
        <v>169</v>
      </c>
      <c r="C24" s="15" t="s">
        <v>80</v>
      </c>
      <c r="D24" s="15" t="s">
        <v>255</v>
      </c>
      <c r="E24" s="14" t="str">
        <f aca="false">IFERROR(INDEX(field_dictionary!$B:$B,MATCH($D24,field_dictionary!$A:$A,0)),"")</f>
        <v>IMMUNO</v>
      </c>
      <c r="F24" s="14" t="str">
        <f aca="false">IFERROR(INDEX(field_dictionary!$C:$C,MATCH($D24,field_dictionary!$A:$A,0)),"")</f>
        <v>ARM</v>
      </c>
      <c r="G24" s="15" t="s">
        <v>256</v>
      </c>
      <c r="H24" s="15" t="s">
        <v>230</v>
      </c>
      <c r="I24" s="15" t="s">
        <v>155</v>
      </c>
      <c r="J24" s="15" t="s">
        <v>242</v>
      </c>
      <c r="K24" s="15" t="s">
        <v>257</v>
      </c>
      <c r="L24" s="15" t="s">
        <v>171</v>
      </c>
      <c r="M24" s="15" t="s">
        <v>66</v>
      </c>
      <c r="N24" s="15"/>
      <c r="O24" s="25"/>
      <c r="P24" s="25"/>
      <c r="Q24" s="25"/>
      <c r="R24" s="15"/>
      <c r="S24" s="15"/>
      <c r="T24" s="15"/>
      <c r="U24" s="15"/>
      <c r="V24" s="15" t="s">
        <v>173</v>
      </c>
      <c r="W24" s="15"/>
      <c r="X24" s="15"/>
      <c r="Y24" s="15"/>
      <c r="Z24" s="15"/>
      <c r="AA24" s="15"/>
      <c r="AB24" s="15"/>
      <c r="AC24" s="15" t="s">
        <v>258</v>
      </c>
      <c r="AD24" s="15" t="s">
        <v>259</v>
      </c>
      <c r="AE24" s="26"/>
      <c r="AF24" s="27"/>
      <c r="AG24" s="27"/>
      <c r="AH24" s="27"/>
      <c r="AI24" s="26"/>
      <c r="AJ24" s="14" t="str">
        <f aca="false">IF(AE24="","",IF(AND(AE24=M24,ABS(N(AF24)-N(O24))&lt;=0.01,ABS(N(AG24)-N(P24))&lt;=0.01,ABS(N(AH24)-N(Q24))&lt;=0.01),"Y","N"))</f>
        <v/>
      </c>
      <c r="AK24" s="15"/>
      <c r="AL24" s="25"/>
      <c r="AM24" s="14" t="str">
        <f aca="false">IF(OR(AL24="",O24=""),"",IF(ABS(N(AL24)-N(O24))&lt;=0.01,"Y","N"))</f>
        <v/>
      </c>
      <c r="AN24" s="15" t="s">
        <v>11</v>
      </c>
      <c r="AO24" s="14" t="str">
        <f aca="false">IFERROR(INDEX(studies!$L:$L,MATCH($C24,studies!$A:$A,0)),"")</f>
        <v>Y</v>
      </c>
      <c r="AP24" s="14" t="str">
        <f aca="false">IF(AND(M24="REPORTED",V24=""),"출처 누락",IF(AND(M24="NOT_FOUND",AC24=""),"검색범위 누락",IF(F24="ARM",IF(OR(H24="",H24="NA"),"arm 누락","OK"),IF(F24="COMPARISON",IF(OR(I24="",I24="NA"),"비교쌍 누락",IF(OR(G24="",G24="NA"),"analysis_id 누락","OK")),IF(F24="","","OK")))))</f>
        <v>OK</v>
      </c>
      <c r="AQ24" s="15" t="s">
        <v>260</v>
      </c>
    </row>
    <row r="25" customFormat="false" ht="29.85" hidden="false" customHeight="false" outlineLevel="0" collapsed="false">
      <c r="A25" s="15" t="s">
        <v>263</v>
      </c>
      <c r="B25" s="15" t="s">
        <v>169</v>
      </c>
      <c r="C25" s="15" t="s">
        <v>80</v>
      </c>
      <c r="D25" s="15" t="s">
        <v>264</v>
      </c>
      <c r="E25" s="14" t="str">
        <f aca="false">IFERROR(INDEX(field_dictionary!$B:$B,MATCH($D25,field_dictionary!$A:$A,0)),"")</f>
        <v>PK</v>
      </c>
      <c r="F25" s="14" t="str">
        <f aca="false">IFERROR(INDEX(field_dictionary!$C:$C,MATCH($D25,field_dictionary!$A:$A,0)),"")</f>
        <v>COMPARISON</v>
      </c>
      <c r="G25" s="15" t="s">
        <v>154</v>
      </c>
      <c r="H25" s="15" t="s">
        <v>155</v>
      </c>
      <c r="I25" s="15" t="s">
        <v>265</v>
      </c>
      <c r="J25" s="15" t="s">
        <v>233</v>
      </c>
      <c r="K25" s="15" t="s">
        <v>266</v>
      </c>
      <c r="L25" s="15" t="s">
        <v>171</v>
      </c>
      <c r="M25" s="15" t="s">
        <v>62</v>
      </c>
      <c r="N25" s="15" t="s">
        <v>267</v>
      </c>
      <c r="O25" s="25" t="n">
        <v>99</v>
      </c>
      <c r="P25" s="25" t="n">
        <v>90</v>
      </c>
      <c r="Q25" s="25" t="n">
        <v>108</v>
      </c>
      <c r="R25" s="15" t="s">
        <v>160</v>
      </c>
      <c r="S25" s="15" t="n">
        <v>62</v>
      </c>
      <c r="T25" s="15" t="n">
        <v>64</v>
      </c>
      <c r="U25" s="15"/>
      <c r="V25" s="15" t="s">
        <v>173</v>
      </c>
      <c r="W25" s="15" t="n">
        <v>43</v>
      </c>
      <c r="X25" s="15" t="s">
        <v>268</v>
      </c>
      <c r="Y25" s="15" t="s">
        <v>269</v>
      </c>
      <c r="Z25" s="15" t="s">
        <v>163</v>
      </c>
      <c r="AA25" s="15" t="s">
        <v>270</v>
      </c>
      <c r="AB25" s="15" t="s">
        <v>271</v>
      </c>
      <c r="AC25" s="15"/>
      <c r="AD25" s="15" t="s">
        <v>177</v>
      </c>
      <c r="AE25" s="26"/>
      <c r="AF25" s="27"/>
      <c r="AG25" s="27"/>
      <c r="AH25" s="27"/>
      <c r="AI25" s="26"/>
      <c r="AJ25" s="14" t="str">
        <f aca="false">IF(AE25="","",IF(AND(AE25=M25,ABS(N(AF25)-N(O25))&lt;=0.01,ABS(N(AG25)-N(P25))&lt;=0.01,ABS(N(AH25)-N(Q25))&lt;=0.01),"Y","N"))</f>
        <v/>
      </c>
      <c r="AK25" s="15" t="s">
        <v>272</v>
      </c>
      <c r="AL25" s="25" t="n">
        <v>99</v>
      </c>
      <c r="AM25" s="14" t="str">
        <f aca="false">IF(OR(AL25="",O25=""),"",IF(ABS(N(AL25)-N(O25))&lt;=0.01,"Y","N"))</f>
        <v>Y</v>
      </c>
      <c r="AN25" s="15" t="s">
        <v>11</v>
      </c>
      <c r="AO25" s="14" t="str">
        <f aca="false">IFERROR(INDEX(studies!$L:$L,MATCH($C25,studies!$A:$A,0)),"")</f>
        <v>Y</v>
      </c>
      <c r="AP25" s="14" t="str">
        <f aca="false">IF(AND(M25="REPORTED",V25=""),"출처 누락",IF(AND(M25="NOT_FOUND",AC25=""),"검색범위 누락",IF(F25="ARM",IF(OR(H25="",H25="NA"),"arm 누락","OK"),IF(F25="COMPARISON",IF(OR(I25="",I25="NA"),"비교쌍 누락",IF(OR(G25="",G25="NA"),"analysis_id 누락","OK")),IF(F25="","","OK")))))</f>
        <v>OK</v>
      </c>
      <c r="AQ25" s="13" t="s">
        <v>273</v>
      </c>
    </row>
    <row r="26" customFormat="false" ht="58.2" hidden="false" customHeight="false" outlineLevel="0" collapsed="false">
      <c r="A26" s="15" t="s">
        <v>274</v>
      </c>
      <c r="B26" s="15" t="s">
        <v>169</v>
      </c>
      <c r="C26" s="15" t="s">
        <v>80</v>
      </c>
      <c r="D26" s="15" t="s">
        <v>264</v>
      </c>
      <c r="E26" s="14" t="str">
        <f aca="false">IFERROR(INDEX(field_dictionary!$B:$B,MATCH($D26,field_dictionary!$A:$A,0)),"")</f>
        <v>PK</v>
      </c>
      <c r="F26" s="14" t="str">
        <f aca="false">IFERROR(INDEX(field_dictionary!$C:$C,MATCH($D26,field_dictionary!$A:$A,0)),"")</f>
        <v>COMPARISON</v>
      </c>
      <c r="G26" s="15" t="s">
        <v>154</v>
      </c>
      <c r="H26" s="15" t="s">
        <v>155</v>
      </c>
      <c r="I26" s="15" t="s">
        <v>275</v>
      </c>
      <c r="J26" s="15" t="s">
        <v>233</v>
      </c>
      <c r="K26" s="15" t="s">
        <v>266</v>
      </c>
      <c r="L26" s="15" t="s">
        <v>171</v>
      </c>
      <c r="M26" s="15" t="s">
        <v>66</v>
      </c>
      <c r="N26" s="15"/>
      <c r="O26" s="25"/>
      <c r="P26" s="25"/>
      <c r="Q26" s="25"/>
      <c r="R26" s="15"/>
      <c r="S26" s="15"/>
      <c r="T26" s="15"/>
      <c r="U26" s="15"/>
      <c r="V26" s="15" t="s">
        <v>173</v>
      </c>
      <c r="W26" s="15"/>
      <c r="X26" s="15"/>
      <c r="Y26" s="15"/>
      <c r="Z26" s="15"/>
      <c r="AA26" s="15"/>
      <c r="AB26" s="15"/>
      <c r="AC26" s="15" t="s">
        <v>276</v>
      </c>
      <c r="AD26" s="15" t="s">
        <v>259</v>
      </c>
      <c r="AE26" s="26"/>
      <c r="AF26" s="27"/>
      <c r="AG26" s="27"/>
      <c r="AH26" s="27"/>
      <c r="AI26" s="26"/>
      <c r="AJ26" s="14" t="str">
        <f aca="false">IF(AE26="","",IF(AND(AE26=M26,ABS(N(AF26)-N(O26))&lt;=0.01,ABS(N(AG26)-N(P26))&lt;=0.01,ABS(N(AH26)-N(Q26))&lt;=0.01),"Y","N"))</f>
        <v/>
      </c>
      <c r="AK26" s="15"/>
      <c r="AL26" s="25"/>
      <c r="AM26" s="14" t="str">
        <f aca="false">IF(OR(AL26="",O26=""),"",IF(ABS(N(AL26)-N(O26))&lt;=0.01,"Y","N"))</f>
        <v/>
      </c>
      <c r="AN26" s="15" t="s">
        <v>11</v>
      </c>
      <c r="AO26" s="14" t="str">
        <f aca="false">IFERROR(INDEX(studies!$L:$L,MATCH($C26,studies!$A:$A,0)),"")</f>
        <v>Y</v>
      </c>
      <c r="AP26" s="14" t="str">
        <f aca="false">IF(AND(M26="REPORTED",V26=""),"출처 누락",IF(AND(M26="NOT_FOUND",AC26=""),"검색범위 누락",IF(F26="ARM",IF(OR(H26="",H26="NA"),"arm 누락","OK"),IF(F26="COMPARISON",IF(OR(I26="",I26="NA"),"비교쌍 누락",IF(OR(G26="",G26="NA"),"analysis_id 누락","OK")),IF(F26="","","OK")))))</f>
        <v>OK</v>
      </c>
      <c r="AQ26" s="13" t="s">
        <v>277</v>
      </c>
    </row>
    <row r="27" customFormat="false" ht="58.2" hidden="false" customHeight="false" outlineLevel="0" collapsed="false">
      <c r="A27" s="15" t="s">
        <v>278</v>
      </c>
      <c r="B27" s="15" t="s">
        <v>169</v>
      </c>
      <c r="C27" s="15" t="s">
        <v>80</v>
      </c>
      <c r="D27" s="15" t="s">
        <v>264</v>
      </c>
      <c r="E27" s="14" t="str">
        <f aca="false">IFERROR(INDEX(field_dictionary!$B:$B,MATCH($D27,field_dictionary!$A:$A,0)),"")</f>
        <v>PK</v>
      </c>
      <c r="F27" s="14" t="str">
        <f aca="false">IFERROR(INDEX(field_dictionary!$C:$C,MATCH($D27,field_dictionary!$A:$A,0)),"")</f>
        <v>COMPARISON</v>
      </c>
      <c r="G27" s="15" t="s">
        <v>154</v>
      </c>
      <c r="H27" s="15" t="s">
        <v>155</v>
      </c>
      <c r="I27" s="15" t="s">
        <v>279</v>
      </c>
      <c r="J27" s="15" t="s">
        <v>233</v>
      </c>
      <c r="K27" s="15" t="s">
        <v>266</v>
      </c>
      <c r="L27" s="15" t="s">
        <v>171</v>
      </c>
      <c r="M27" s="15" t="s">
        <v>66</v>
      </c>
      <c r="N27" s="15"/>
      <c r="O27" s="25"/>
      <c r="P27" s="25"/>
      <c r="Q27" s="25"/>
      <c r="R27" s="15"/>
      <c r="S27" s="15"/>
      <c r="T27" s="15"/>
      <c r="U27" s="15"/>
      <c r="V27" s="15" t="s">
        <v>173</v>
      </c>
      <c r="W27" s="15"/>
      <c r="X27" s="15"/>
      <c r="Y27" s="15"/>
      <c r="Z27" s="15"/>
      <c r="AA27" s="15"/>
      <c r="AB27" s="15"/>
      <c r="AC27" s="15" t="s">
        <v>276</v>
      </c>
      <c r="AD27" s="15" t="s">
        <v>259</v>
      </c>
      <c r="AE27" s="26"/>
      <c r="AF27" s="27"/>
      <c r="AG27" s="27"/>
      <c r="AH27" s="27"/>
      <c r="AI27" s="26"/>
      <c r="AJ27" s="14" t="str">
        <f aca="false">IF(AE27="","",IF(AND(AE27=M27,ABS(N(AF27)-N(O27))&lt;=0.01,ABS(N(AG27)-N(P27))&lt;=0.01,ABS(N(AH27)-N(Q27))&lt;=0.01),"Y","N"))</f>
        <v/>
      </c>
      <c r="AK27" s="15"/>
      <c r="AL27" s="25"/>
      <c r="AM27" s="14" t="str">
        <f aca="false">IF(OR(AL27="",O27=""),"",IF(ABS(N(AL27)-N(O27))&lt;=0.01,"Y","N"))</f>
        <v/>
      </c>
      <c r="AN27" s="15" t="s">
        <v>11</v>
      </c>
      <c r="AO27" s="14" t="str">
        <f aca="false">IFERROR(INDEX(studies!$L:$L,MATCH($C27,studies!$A:$A,0)),"")</f>
        <v>Y</v>
      </c>
      <c r="AP27" s="14" t="str">
        <f aca="false">IF(AND(M27="REPORTED",V27=""),"출처 누락",IF(AND(M27="NOT_FOUND",AC27=""),"검색범위 누락",IF(F27="ARM",IF(OR(H27="",H27="NA"),"arm 누락","OK"),IF(F27="COMPARISON",IF(OR(I27="",I27="NA"),"비교쌍 누락",IF(OR(G27="",G27="NA"),"analysis_id 누락","OK")),IF(F27="","","OK")))))</f>
        <v>OK</v>
      </c>
      <c r="AQ27" s="13" t="s">
        <v>277</v>
      </c>
    </row>
    <row r="28" customFormat="false" ht="29.85" hidden="false" customHeight="false" outlineLevel="0" collapsed="false">
      <c r="A28" s="15" t="s">
        <v>280</v>
      </c>
      <c r="B28" s="15" t="s">
        <v>169</v>
      </c>
      <c r="C28" s="15" t="s">
        <v>80</v>
      </c>
      <c r="D28" s="15" t="s">
        <v>166</v>
      </c>
      <c r="E28" s="14" t="str">
        <f aca="false">IFERROR(INDEX(field_dictionary!$B:$B,MATCH($D28,field_dictionary!$A:$A,0)),"")</f>
        <v>PK</v>
      </c>
      <c r="F28" s="14" t="str">
        <f aca="false">IFERROR(INDEX(field_dictionary!$C:$C,MATCH($D28,field_dictionary!$A:$A,0)),"")</f>
        <v>COMPARISON</v>
      </c>
      <c r="G28" s="15" t="s">
        <v>154</v>
      </c>
      <c r="H28" s="15" t="s">
        <v>155</v>
      </c>
      <c r="I28" s="15" t="s">
        <v>265</v>
      </c>
      <c r="J28" s="15" t="s">
        <v>233</v>
      </c>
      <c r="K28" s="15" t="s">
        <v>266</v>
      </c>
      <c r="L28" s="15" t="s">
        <v>171</v>
      </c>
      <c r="M28" s="15" t="s">
        <v>62</v>
      </c>
      <c r="N28" s="15" t="s">
        <v>281</v>
      </c>
      <c r="O28" s="25" t="n">
        <v>90</v>
      </c>
      <c r="P28" s="25" t="n">
        <v>82</v>
      </c>
      <c r="Q28" s="25" t="n">
        <v>98</v>
      </c>
      <c r="R28" s="15" t="s">
        <v>160</v>
      </c>
      <c r="S28" s="15" t="n">
        <v>62</v>
      </c>
      <c r="T28" s="15" t="n">
        <v>64</v>
      </c>
      <c r="U28" s="15"/>
      <c r="V28" s="15" t="s">
        <v>173</v>
      </c>
      <c r="W28" s="15" t="n">
        <v>43</v>
      </c>
      <c r="X28" s="15" t="s">
        <v>268</v>
      </c>
      <c r="Y28" s="15" t="s">
        <v>269</v>
      </c>
      <c r="Z28" s="15" t="s">
        <v>163</v>
      </c>
      <c r="AA28" s="15" t="s">
        <v>282</v>
      </c>
      <c r="AB28" s="15" t="s">
        <v>271</v>
      </c>
      <c r="AC28" s="15"/>
      <c r="AD28" s="15" t="s">
        <v>177</v>
      </c>
      <c r="AE28" s="26"/>
      <c r="AF28" s="27"/>
      <c r="AG28" s="27"/>
      <c r="AH28" s="27"/>
      <c r="AI28" s="26"/>
      <c r="AJ28" s="14" t="str">
        <f aca="false">IF(AE28="","",IF(AND(AE28=M28,ABS(N(AF28)-N(O28))&lt;=0.01,ABS(N(AG28)-N(P28))&lt;=0.01,ABS(N(AH28)-N(Q28))&lt;=0.01),"Y","N"))</f>
        <v/>
      </c>
      <c r="AK28" s="15" t="s">
        <v>272</v>
      </c>
      <c r="AL28" s="25" t="n">
        <v>90</v>
      </c>
      <c r="AM28" s="14" t="str">
        <f aca="false">IF(OR(AL28="",O28=""),"",IF(ABS(N(AL28)-N(O28))&lt;=0.01,"Y","N"))</f>
        <v>Y</v>
      </c>
      <c r="AN28" s="15" t="s">
        <v>11</v>
      </c>
      <c r="AO28" s="14" t="str">
        <f aca="false">IFERROR(INDEX(studies!$L:$L,MATCH($C28,studies!$A:$A,0)),"")</f>
        <v>Y</v>
      </c>
      <c r="AP28" s="14" t="str">
        <f aca="false">IF(AND(M28="REPORTED",V28=""),"출처 누락",IF(AND(M28="NOT_FOUND",AC28=""),"검색범위 누락",IF(F28="ARM",IF(OR(H28="",H28="NA"),"arm 누락","OK"),IF(F28="COMPARISON",IF(OR(I28="",I28="NA"),"비교쌍 누락",IF(OR(G28="",G28="NA"),"analysis_id 누락","OK")),IF(F28="","","OK")))))</f>
        <v>OK</v>
      </c>
      <c r="AQ28" s="13" t="s">
        <v>273</v>
      </c>
    </row>
    <row r="29" customFormat="false" ht="58.2" hidden="false" customHeight="false" outlineLevel="0" collapsed="false">
      <c r="A29" s="15" t="s">
        <v>283</v>
      </c>
      <c r="B29" s="15" t="s">
        <v>169</v>
      </c>
      <c r="C29" s="15" t="s">
        <v>80</v>
      </c>
      <c r="D29" s="15" t="s">
        <v>166</v>
      </c>
      <c r="E29" s="14" t="str">
        <f aca="false">IFERROR(INDEX(field_dictionary!$B:$B,MATCH($D29,field_dictionary!$A:$A,0)),"")</f>
        <v>PK</v>
      </c>
      <c r="F29" s="14" t="str">
        <f aca="false">IFERROR(INDEX(field_dictionary!$C:$C,MATCH($D29,field_dictionary!$A:$A,0)),"")</f>
        <v>COMPARISON</v>
      </c>
      <c r="G29" s="15" t="s">
        <v>154</v>
      </c>
      <c r="H29" s="15" t="s">
        <v>155</v>
      </c>
      <c r="I29" s="15" t="s">
        <v>275</v>
      </c>
      <c r="J29" s="15" t="s">
        <v>233</v>
      </c>
      <c r="K29" s="15" t="s">
        <v>266</v>
      </c>
      <c r="L29" s="15" t="s">
        <v>171</v>
      </c>
      <c r="M29" s="15" t="s">
        <v>66</v>
      </c>
      <c r="N29" s="15"/>
      <c r="O29" s="25"/>
      <c r="P29" s="25"/>
      <c r="Q29" s="25"/>
      <c r="R29" s="15"/>
      <c r="S29" s="15"/>
      <c r="T29" s="15"/>
      <c r="U29" s="15"/>
      <c r="V29" s="15" t="s">
        <v>173</v>
      </c>
      <c r="W29" s="15"/>
      <c r="X29" s="15"/>
      <c r="Y29" s="15"/>
      <c r="Z29" s="15"/>
      <c r="AA29" s="15"/>
      <c r="AB29" s="15"/>
      <c r="AC29" s="15" t="s">
        <v>276</v>
      </c>
      <c r="AD29" s="15" t="s">
        <v>259</v>
      </c>
      <c r="AE29" s="26"/>
      <c r="AF29" s="27"/>
      <c r="AG29" s="27"/>
      <c r="AH29" s="27"/>
      <c r="AI29" s="26"/>
      <c r="AJ29" s="14" t="str">
        <f aca="false">IF(AE29="","",IF(AND(AE29=M29,ABS(N(AF29)-N(O29))&lt;=0.01,ABS(N(AG29)-N(P29))&lt;=0.01,ABS(N(AH29)-N(Q29))&lt;=0.01),"Y","N"))</f>
        <v/>
      </c>
      <c r="AK29" s="15"/>
      <c r="AL29" s="25"/>
      <c r="AM29" s="14" t="str">
        <f aca="false">IF(OR(AL29="",O29=""),"",IF(ABS(N(AL29)-N(O29))&lt;=0.01,"Y","N"))</f>
        <v/>
      </c>
      <c r="AN29" s="15" t="s">
        <v>11</v>
      </c>
      <c r="AO29" s="14" t="str">
        <f aca="false">IFERROR(INDEX(studies!$L:$L,MATCH($C29,studies!$A:$A,0)),"")</f>
        <v>Y</v>
      </c>
      <c r="AP29" s="14" t="str">
        <f aca="false">IF(AND(M29="REPORTED",V29=""),"출처 누락",IF(AND(M29="NOT_FOUND",AC29=""),"검색범위 누락",IF(F29="ARM",IF(OR(H29="",H29="NA"),"arm 누락","OK"),IF(F29="COMPARISON",IF(OR(I29="",I29="NA"),"비교쌍 누락",IF(OR(G29="",G29="NA"),"analysis_id 누락","OK")),IF(F29="","","OK")))))</f>
        <v>OK</v>
      </c>
      <c r="AQ29" s="13" t="s">
        <v>277</v>
      </c>
    </row>
    <row r="30" customFormat="false" ht="58.2" hidden="false" customHeight="false" outlineLevel="0" collapsed="false">
      <c r="A30" s="15" t="s">
        <v>284</v>
      </c>
      <c r="B30" s="15" t="s">
        <v>169</v>
      </c>
      <c r="C30" s="15" t="s">
        <v>80</v>
      </c>
      <c r="D30" s="15" t="s">
        <v>166</v>
      </c>
      <c r="E30" s="14" t="str">
        <f aca="false">IFERROR(INDEX(field_dictionary!$B:$B,MATCH($D30,field_dictionary!$A:$A,0)),"")</f>
        <v>PK</v>
      </c>
      <c r="F30" s="14" t="str">
        <f aca="false">IFERROR(INDEX(field_dictionary!$C:$C,MATCH($D30,field_dictionary!$A:$A,0)),"")</f>
        <v>COMPARISON</v>
      </c>
      <c r="G30" s="15" t="s">
        <v>154</v>
      </c>
      <c r="H30" s="15" t="s">
        <v>155</v>
      </c>
      <c r="I30" s="15" t="s">
        <v>279</v>
      </c>
      <c r="J30" s="15" t="s">
        <v>233</v>
      </c>
      <c r="K30" s="15" t="s">
        <v>266</v>
      </c>
      <c r="L30" s="15" t="s">
        <v>171</v>
      </c>
      <c r="M30" s="15" t="s">
        <v>66</v>
      </c>
      <c r="N30" s="15"/>
      <c r="O30" s="25"/>
      <c r="P30" s="25"/>
      <c r="Q30" s="25"/>
      <c r="R30" s="15"/>
      <c r="S30" s="15"/>
      <c r="T30" s="15"/>
      <c r="U30" s="15"/>
      <c r="V30" s="15" t="s">
        <v>173</v>
      </c>
      <c r="W30" s="15"/>
      <c r="X30" s="15"/>
      <c r="Y30" s="15"/>
      <c r="Z30" s="15"/>
      <c r="AA30" s="15"/>
      <c r="AB30" s="15"/>
      <c r="AC30" s="15" t="s">
        <v>276</v>
      </c>
      <c r="AD30" s="15" t="s">
        <v>259</v>
      </c>
      <c r="AE30" s="26"/>
      <c r="AF30" s="27"/>
      <c r="AG30" s="27"/>
      <c r="AH30" s="27"/>
      <c r="AI30" s="26"/>
      <c r="AJ30" s="14" t="str">
        <f aca="false">IF(AE30="","",IF(AND(AE30=M30,ABS(N(AF30)-N(O30))&lt;=0.01,ABS(N(AG30)-N(P30))&lt;=0.01,ABS(N(AH30)-N(Q30))&lt;=0.01),"Y","N"))</f>
        <v/>
      </c>
      <c r="AK30" s="15"/>
      <c r="AL30" s="25"/>
      <c r="AM30" s="14" t="str">
        <f aca="false">IF(OR(AL30="",O30=""),"",IF(ABS(N(AL30)-N(O30))&lt;=0.01,"Y","N"))</f>
        <v/>
      </c>
      <c r="AN30" s="15" t="s">
        <v>11</v>
      </c>
      <c r="AO30" s="14" t="str">
        <f aca="false">IFERROR(INDEX(studies!$L:$L,MATCH($C30,studies!$A:$A,0)),"")</f>
        <v>Y</v>
      </c>
      <c r="AP30" s="14" t="str">
        <f aca="false">IF(AND(M30="REPORTED",V30=""),"출처 누락",IF(AND(M30="NOT_FOUND",AC30=""),"검색범위 누락",IF(F30="ARM",IF(OR(H30="",H30="NA"),"arm 누락","OK"),IF(F30="COMPARISON",IF(OR(I30="",I30="NA"),"비교쌍 누락",IF(OR(G30="",G30="NA"),"analysis_id 누락","OK")),IF(F30="","","OK")))))</f>
        <v>OK</v>
      </c>
      <c r="AQ30" s="13" t="s">
        <v>277</v>
      </c>
    </row>
    <row r="31" customFormat="false" ht="29.85" hidden="false" customHeight="false" outlineLevel="0" collapsed="false">
      <c r="A31" s="15" t="s">
        <v>285</v>
      </c>
      <c r="B31" s="15" t="s">
        <v>169</v>
      </c>
      <c r="C31" s="15" t="s">
        <v>80</v>
      </c>
      <c r="D31" s="15" t="s">
        <v>286</v>
      </c>
      <c r="E31" s="14" t="str">
        <f aca="false">IFERROR(INDEX(field_dictionary!$B:$B,MATCH($D31,field_dictionary!$A:$A,0)),"")</f>
        <v>PK</v>
      </c>
      <c r="F31" s="14" t="str">
        <f aca="false">IFERROR(INDEX(field_dictionary!$C:$C,MATCH($D31,field_dictionary!$A:$A,0)),"")</f>
        <v>COMPARISON</v>
      </c>
      <c r="G31" s="15" t="s">
        <v>154</v>
      </c>
      <c r="H31" s="15" t="s">
        <v>155</v>
      </c>
      <c r="I31" s="15" t="s">
        <v>265</v>
      </c>
      <c r="J31" s="15" t="s">
        <v>233</v>
      </c>
      <c r="K31" s="15" t="s">
        <v>266</v>
      </c>
      <c r="L31" s="15" t="s">
        <v>171</v>
      </c>
      <c r="M31" s="15" t="s">
        <v>66</v>
      </c>
      <c r="N31" s="15"/>
      <c r="O31" s="25"/>
      <c r="P31" s="25"/>
      <c r="Q31" s="25"/>
      <c r="R31" s="15"/>
      <c r="S31" s="15"/>
      <c r="T31" s="15"/>
      <c r="U31" s="15"/>
      <c r="V31" s="15" t="s">
        <v>173</v>
      </c>
      <c r="W31" s="15"/>
      <c r="X31" s="15"/>
      <c r="Y31" s="15"/>
      <c r="Z31" s="15"/>
      <c r="AA31" s="15"/>
      <c r="AB31" s="15"/>
      <c r="AC31" s="15" t="s">
        <v>287</v>
      </c>
      <c r="AD31" s="15" t="s">
        <v>259</v>
      </c>
      <c r="AE31" s="26"/>
      <c r="AF31" s="27"/>
      <c r="AG31" s="27"/>
      <c r="AH31" s="27"/>
      <c r="AI31" s="26"/>
      <c r="AJ31" s="14" t="str">
        <f aca="false">IF(AE31="","",IF(AND(AE31=M31,ABS(N(AF31)-N(O31))&lt;=0.01,ABS(N(AG31)-N(P31))&lt;=0.01,ABS(N(AH31)-N(Q31))&lt;=0.01),"Y","N"))</f>
        <v/>
      </c>
      <c r="AK31" s="15"/>
      <c r="AL31" s="25"/>
      <c r="AM31" s="14" t="str">
        <f aca="false">IF(OR(AL31="",O31=""),"",IF(ABS(N(AL31)-N(O31))&lt;=0.01,"Y","N"))</f>
        <v/>
      </c>
      <c r="AN31" s="15" t="s">
        <v>11</v>
      </c>
      <c r="AO31" s="14" t="str">
        <f aca="false">IFERROR(INDEX(studies!$L:$L,MATCH($C31,studies!$A:$A,0)),"")</f>
        <v>Y</v>
      </c>
      <c r="AP31" s="14" t="str">
        <f aca="false">IF(AND(M31="REPORTED",V31=""),"출처 누락",IF(AND(M31="NOT_FOUND",AC31=""),"검색범위 누락",IF(F31="ARM",IF(OR(H31="",H31="NA"),"arm 누락","OK"),IF(F31="COMPARISON",IF(OR(I31="",I31="NA"),"비교쌍 누락",IF(OR(G31="",G31="NA"),"analysis_id 누락","OK")),IF(F31="","","OK")))))</f>
        <v>OK</v>
      </c>
      <c r="AQ31" s="15"/>
    </row>
    <row r="32" customFormat="false" ht="29.85" hidden="false" customHeight="false" outlineLevel="0" collapsed="false">
      <c r="A32" s="15" t="s">
        <v>288</v>
      </c>
      <c r="B32" s="15" t="s">
        <v>169</v>
      </c>
      <c r="C32" s="15" t="s">
        <v>80</v>
      </c>
      <c r="D32" s="15" t="s">
        <v>286</v>
      </c>
      <c r="E32" s="14" t="str">
        <f aca="false">IFERROR(INDEX(field_dictionary!$B:$B,MATCH($D32,field_dictionary!$A:$A,0)),"")</f>
        <v>PK</v>
      </c>
      <c r="F32" s="14" t="str">
        <f aca="false">IFERROR(INDEX(field_dictionary!$C:$C,MATCH($D32,field_dictionary!$A:$A,0)),"")</f>
        <v>COMPARISON</v>
      </c>
      <c r="G32" s="15" t="s">
        <v>154</v>
      </c>
      <c r="H32" s="15" t="s">
        <v>155</v>
      </c>
      <c r="I32" s="15" t="s">
        <v>275</v>
      </c>
      <c r="J32" s="15" t="s">
        <v>233</v>
      </c>
      <c r="K32" s="15" t="s">
        <v>266</v>
      </c>
      <c r="L32" s="15" t="s">
        <v>171</v>
      </c>
      <c r="M32" s="15" t="s">
        <v>66</v>
      </c>
      <c r="N32" s="15"/>
      <c r="O32" s="25"/>
      <c r="P32" s="25"/>
      <c r="Q32" s="25"/>
      <c r="R32" s="15"/>
      <c r="S32" s="15"/>
      <c r="T32" s="15"/>
      <c r="U32" s="15"/>
      <c r="V32" s="15" t="s">
        <v>173</v>
      </c>
      <c r="W32" s="15"/>
      <c r="X32" s="15"/>
      <c r="Y32" s="15"/>
      <c r="Z32" s="15"/>
      <c r="AA32" s="15"/>
      <c r="AB32" s="15"/>
      <c r="AC32" s="15" t="s">
        <v>287</v>
      </c>
      <c r="AD32" s="15" t="s">
        <v>259</v>
      </c>
      <c r="AE32" s="26"/>
      <c r="AF32" s="27"/>
      <c r="AG32" s="27"/>
      <c r="AH32" s="27"/>
      <c r="AI32" s="26"/>
      <c r="AJ32" s="14" t="str">
        <f aca="false">IF(AE32="","",IF(AND(AE32=M32,ABS(N(AF32)-N(O32))&lt;=0.01,ABS(N(AG32)-N(P32))&lt;=0.01,ABS(N(AH32)-N(Q32))&lt;=0.01),"Y","N"))</f>
        <v/>
      </c>
      <c r="AK32" s="15"/>
      <c r="AL32" s="25"/>
      <c r="AM32" s="14" t="str">
        <f aca="false">IF(OR(AL32="",O32=""),"",IF(ABS(N(AL32)-N(O32))&lt;=0.01,"Y","N"))</f>
        <v/>
      </c>
      <c r="AN32" s="15" t="s">
        <v>11</v>
      </c>
      <c r="AO32" s="14" t="str">
        <f aca="false">IFERROR(INDEX(studies!$L:$L,MATCH($C32,studies!$A:$A,0)),"")</f>
        <v>Y</v>
      </c>
      <c r="AP32" s="14" t="str">
        <f aca="false">IF(AND(M32="REPORTED",V32=""),"출처 누락",IF(AND(M32="NOT_FOUND",AC32=""),"검색범위 누락",IF(F32="ARM",IF(OR(H32="",H32="NA"),"arm 누락","OK"),IF(F32="COMPARISON",IF(OR(I32="",I32="NA"),"비교쌍 누락",IF(OR(G32="",G32="NA"),"analysis_id 누락","OK")),IF(F32="","","OK")))))</f>
        <v>OK</v>
      </c>
      <c r="AQ32" s="15"/>
    </row>
    <row r="33" customFormat="false" ht="29.85" hidden="false" customHeight="false" outlineLevel="0" collapsed="false">
      <c r="A33" s="15" t="s">
        <v>289</v>
      </c>
      <c r="B33" s="15" t="s">
        <v>169</v>
      </c>
      <c r="C33" s="15" t="s">
        <v>80</v>
      </c>
      <c r="D33" s="15" t="s">
        <v>286</v>
      </c>
      <c r="E33" s="14" t="str">
        <f aca="false">IFERROR(INDEX(field_dictionary!$B:$B,MATCH($D33,field_dictionary!$A:$A,0)),"")</f>
        <v>PK</v>
      </c>
      <c r="F33" s="14" t="str">
        <f aca="false">IFERROR(INDEX(field_dictionary!$C:$C,MATCH($D33,field_dictionary!$A:$A,0)),"")</f>
        <v>COMPARISON</v>
      </c>
      <c r="G33" s="15" t="s">
        <v>154</v>
      </c>
      <c r="H33" s="15" t="s">
        <v>155</v>
      </c>
      <c r="I33" s="15" t="s">
        <v>279</v>
      </c>
      <c r="J33" s="15" t="s">
        <v>233</v>
      </c>
      <c r="K33" s="15" t="s">
        <v>266</v>
      </c>
      <c r="L33" s="15" t="s">
        <v>171</v>
      </c>
      <c r="M33" s="15" t="s">
        <v>66</v>
      </c>
      <c r="N33" s="15"/>
      <c r="O33" s="25"/>
      <c r="P33" s="25"/>
      <c r="Q33" s="25"/>
      <c r="R33" s="15"/>
      <c r="S33" s="15"/>
      <c r="T33" s="15"/>
      <c r="U33" s="15"/>
      <c r="V33" s="15" t="s">
        <v>173</v>
      </c>
      <c r="W33" s="15"/>
      <c r="X33" s="15"/>
      <c r="Y33" s="15"/>
      <c r="Z33" s="15"/>
      <c r="AA33" s="15"/>
      <c r="AB33" s="15"/>
      <c r="AC33" s="15" t="s">
        <v>287</v>
      </c>
      <c r="AD33" s="15" t="s">
        <v>259</v>
      </c>
      <c r="AE33" s="26"/>
      <c r="AF33" s="27"/>
      <c r="AG33" s="27"/>
      <c r="AH33" s="27"/>
      <c r="AI33" s="26"/>
      <c r="AJ33" s="14" t="str">
        <f aca="false">IF(AE33="","",IF(AND(AE33=M33,ABS(N(AF33)-N(O33))&lt;=0.01,ABS(N(AG33)-N(P33))&lt;=0.01,ABS(N(AH33)-N(Q33))&lt;=0.01),"Y","N"))</f>
        <v/>
      </c>
      <c r="AK33" s="15"/>
      <c r="AL33" s="25"/>
      <c r="AM33" s="14" t="str">
        <f aca="false">IF(OR(AL33="",O33=""),"",IF(ABS(N(AL33)-N(O33))&lt;=0.01,"Y","N"))</f>
        <v/>
      </c>
      <c r="AN33" s="15" t="s">
        <v>11</v>
      </c>
      <c r="AO33" s="14" t="str">
        <f aca="false">IFERROR(INDEX(studies!$L:$L,MATCH($C33,studies!$A:$A,0)),"")</f>
        <v>Y</v>
      </c>
      <c r="AP33" s="14" t="str">
        <f aca="false">IF(AND(M33="REPORTED",V33=""),"출처 누락",IF(AND(M33="NOT_FOUND",AC33=""),"검색범위 누락",IF(F33="ARM",IF(OR(H33="",H33="NA"),"arm 누락","OK"),IF(F33="COMPARISON",IF(OR(I33="",I33="NA"),"비교쌍 누락",IF(OR(G33="",G33="NA"),"analysis_id 누락","OK")),IF(F33="","","OK")))))</f>
        <v>OK</v>
      </c>
      <c r="AQ33" s="15"/>
    </row>
    <row r="34" customFormat="false" ht="26.85" hidden="false" customHeight="false" outlineLevel="0" collapsed="false">
      <c r="A34" s="15" t="s">
        <v>290</v>
      </c>
      <c r="B34" s="15" t="s">
        <v>169</v>
      </c>
      <c r="C34" s="15" t="s">
        <v>80</v>
      </c>
      <c r="D34" s="15" t="s">
        <v>291</v>
      </c>
      <c r="E34" s="14" t="str">
        <f aca="false">IFERROR(INDEX(field_dictionary!$B:$B,MATCH($D34,field_dictionary!$A:$A,0)),"")</f>
        <v>PK</v>
      </c>
      <c r="F34" s="14" t="str">
        <f aca="false">IFERROR(INDEX(field_dictionary!$C:$C,MATCH($D34,field_dictionary!$A:$A,0)),"")</f>
        <v>COMPARISON</v>
      </c>
      <c r="G34" s="15" t="s">
        <v>154</v>
      </c>
      <c r="H34" s="15" t="s">
        <v>155</v>
      </c>
      <c r="I34" s="15" t="s">
        <v>265</v>
      </c>
      <c r="J34" s="15" t="s">
        <v>233</v>
      </c>
      <c r="K34" s="15"/>
      <c r="L34" s="15" t="s">
        <v>171</v>
      </c>
      <c r="M34" s="15" t="s">
        <v>62</v>
      </c>
      <c r="N34" s="15" t="s">
        <v>292</v>
      </c>
      <c r="O34" s="25"/>
      <c r="P34" s="25"/>
      <c r="Q34" s="25"/>
      <c r="R34" s="15"/>
      <c r="S34" s="15"/>
      <c r="T34" s="15"/>
      <c r="U34" s="15"/>
      <c r="V34" s="15" t="s">
        <v>173</v>
      </c>
      <c r="W34" s="15" t="n">
        <v>45</v>
      </c>
      <c r="X34" s="15" t="s">
        <v>293</v>
      </c>
      <c r="Y34" s="15" t="s">
        <v>294</v>
      </c>
      <c r="Z34" s="15" t="s">
        <v>163</v>
      </c>
      <c r="AA34" s="15" t="s">
        <v>295</v>
      </c>
      <c r="AB34" s="15"/>
      <c r="AC34" s="15"/>
      <c r="AD34" s="15" t="s">
        <v>177</v>
      </c>
      <c r="AE34" s="26"/>
      <c r="AF34" s="27"/>
      <c r="AG34" s="27"/>
      <c r="AH34" s="27"/>
      <c r="AI34" s="26"/>
      <c r="AJ34" s="14" t="str">
        <f aca="false">IF(AE34="","",IF(AND(AE34=M34,ABS(N(AF34)-N(O34))&lt;=0.01,ABS(N(AG34)-N(P34))&lt;=0.01,ABS(N(AH34)-N(Q34))&lt;=0.01),"Y","N"))</f>
        <v/>
      </c>
      <c r="AK34" s="15"/>
      <c r="AL34" s="25"/>
      <c r="AM34" s="14" t="str">
        <f aca="false">IF(OR(AL34="",O34=""),"",IF(ABS(N(AL34)-N(O34))&lt;=0.01,"Y","N"))</f>
        <v/>
      </c>
      <c r="AN34" s="15" t="s">
        <v>11</v>
      </c>
      <c r="AO34" s="14" t="str">
        <f aca="false">IFERROR(INDEX(studies!$L:$L,MATCH($C34,studies!$A:$A,0)),"")</f>
        <v>Y</v>
      </c>
      <c r="AP34" s="14" t="str">
        <f aca="false">IF(AND(M34="REPORTED",V34=""),"출처 누락",IF(AND(M34="NOT_FOUND",AC34=""),"검색범위 누락",IF(F34="ARM",IF(OR(H34="",H34="NA"),"arm 누락","OK"),IF(F34="COMPARISON",IF(OR(I34="",I34="NA"),"비교쌍 누락",IF(OR(G34="",G34="NA"),"analysis_id 누락","OK")),IF(F34="","","OK")))))</f>
        <v>OK</v>
      </c>
      <c r="AQ34" s="15" t="s">
        <v>296</v>
      </c>
    </row>
    <row r="35" customFormat="false" ht="35.05" hidden="false" customHeight="false" outlineLevel="0" collapsed="false">
      <c r="A35" s="15" t="s">
        <v>297</v>
      </c>
      <c r="B35" s="15" t="s">
        <v>169</v>
      </c>
      <c r="C35" s="15" t="s">
        <v>80</v>
      </c>
      <c r="D35" s="15" t="s">
        <v>291</v>
      </c>
      <c r="E35" s="14" t="str">
        <f aca="false">IFERROR(INDEX(field_dictionary!$B:$B,MATCH($D35,field_dictionary!$A:$A,0)),"")</f>
        <v>PK</v>
      </c>
      <c r="F35" s="14" t="str">
        <f aca="false">IFERROR(INDEX(field_dictionary!$C:$C,MATCH($D35,field_dictionary!$A:$A,0)),"")</f>
        <v>COMPARISON</v>
      </c>
      <c r="G35" s="15" t="s">
        <v>154</v>
      </c>
      <c r="H35" s="15" t="s">
        <v>155</v>
      </c>
      <c r="I35" s="15" t="s">
        <v>275</v>
      </c>
      <c r="J35" s="15" t="s">
        <v>233</v>
      </c>
      <c r="K35" s="15"/>
      <c r="L35" s="15" t="s">
        <v>171</v>
      </c>
      <c r="M35" s="15" t="s">
        <v>62</v>
      </c>
      <c r="N35" s="15" t="s">
        <v>292</v>
      </c>
      <c r="O35" s="25"/>
      <c r="P35" s="25"/>
      <c r="Q35" s="25"/>
      <c r="R35" s="15"/>
      <c r="S35" s="15"/>
      <c r="T35" s="15"/>
      <c r="U35" s="15"/>
      <c r="V35" s="15" t="s">
        <v>173</v>
      </c>
      <c r="W35" s="15" t="n">
        <v>45</v>
      </c>
      <c r="X35" s="15" t="s">
        <v>293</v>
      </c>
      <c r="Y35" s="15" t="s">
        <v>294</v>
      </c>
      <c r="Z35" s="15" t="s">
        <v>163</v>
      </c>
      <c r="AA35" s="15" t="s">
        <v>298</v>
      </c>
      <c r="AB35" s="15"/>
      <c r="AC35" s="15"/>
      <c r="AD35" s="15" t="s">
        <v>177</v>
      </c>
      <c r="AE35" s="26"/>
      <c r="AF35" s="27"/>
      <c r="AG35" s="27"/>
      <c r="AH35" s="27"/>
      <c r="AI35" s="26"/>
      <c r="AJ35" s="14" t="str">
        <f aca="false">IF(AE35="","",IF(AND(AE35=M35,ABS(N(AF35)-N(O35))&lt;=0.01,ABS(N(AG35)-N(P35))&lt;=0.01,ABS(N(AH35)-N(Q35))&lt;=0.01),"Y","N"))</f>
        <v/>
      </c>
      <c r="AK35" s="15"/>
      <c r="AL35" s="25"/>
      <c r="AM35" s="14" t="str">
        <f aca="false">IF(OR(AL35="",O35=""),"",IF(ABS(N(AL35)-N(O35))&lt;=0.01,"Y","N"))</f>
        <v/>
      </c>
      <c r="AN35" s="15" t="s">
        <v>11</v>
      </c>
      <c r="AO35" s="14" t="str">
        <f aca="false">IFERROR(INDEX(studies!$L:$L,MATCH($C35,studies!$A:$A,0)),"")</f>
        <v>Y</v>
      </c>
      <c r="AP35" s="14" t="str">
        <f aca="false">IF(AND(M35="REPORTED",V35=""),"출처 누락",IF(AND(M35="NOT_FOUND",AC35=""),"검색범위 누락",IF(F35="ARM",IF(OR(H35="",H35="NA"),"arm 누락","OK"),IF(F35="COMPARISON",IF(OR(I35="",I35="NA"),"비교쌍 누락",IF(OR(G35="",G35="NA"),"analysis_id 누락","OK")),IF(F35="","","OK")))))</f>
        <v>OK</v>
      </c>
      <c r="AQ35" s="15"/>
    </row>
    <row r="36" customFormat="false" ht="35.05" hidden="false" customHeight="false" outlineLevel="0" collapsed="false">
      <c r="A36" s="15" t="s">
        <v>299</v>
      </c>
      <c r="B36" s="15" t="s">
        <v>169</v>
      </c>
      <c r="C36" s="15" t="s">
        <v>80</v>
      </c>
      <c r="D36" s="15" t="s">
        <v>291</v>
      </c>
      <c r="E36" s="14" t="str">
        <f aca="false">IFERROR(INDEX(field_dictionary!$B:$B,MATCH($D36,field_dictionary!$A:$A,0)),"")</f>
        <v>PK</v>
      </c>
      <c r="F36" s="14" t="str">
        <f aca="false">IFERROR(INDEX(field_dictionary!$C:$C,MATCH($D36,field_dictionary!$A:$A,0)),"")</f>
        <v>COMPARISON</v>
      </c>
      <c r="G36" s="15" t="s">
        <v>154</v>
      </c>
      <c r="H36" s="15" t="s">
        <v>155</v>
      </c>
      <c r="I36" s="15" t="s">
        <v>279</v>
      </c>
      <c r="J36" s="15" t="s">
        <v>233</v>
      </c>
      <c r="K36" s="15"/>
      <c r="L36" s="15" t="s">
        <v>171</v>
      </c>
      <c r="M36" s="15" t="s">
        <v>62</v>
      </c>
      <c r="N36" s="15" t="s">
        <v>292</v>
      </c>
      <c r="O36" s="25"/>
      <c r="P36" s="25"/>
      <c r="Q36" s="25"/>
      <c r="R36" s="15"/>
      <c r="S36" s="15"/>
      <c r="T36" s="15"/>
      <c r="U36" s="15"/>
      <c r="V36" s="15" t="s">
        <v>173</v>
      </c>
      <c r="W36" s="15" t="n">
        <v>45</v>
      </c>
      <c r="X36" s="15" t="s">
        <v>293</v>
      </c>
      <c r="Y36" s="15" t="s">
        <v>294</v>
      </c>
      <c r="Z36" s="15" t="s">
        <v>163</v>
      </c>
      <c r="AA36" s="15" t="s">
        <v>298</v>
      </c>
      <c r="AB36" s="15"/>
      <c r="AC36" s="15"/>
      <c r="AD36" s="15" t="s">
        <v>177</v>
      </c>
      <c r="AE36" s="26"/>
      <c r="AF36" s="27"/>
      <c r="AG36" s="27"/>
      <c r="AH36" s="27"/>
      <c r="AI36" s="26"/>
      <c r="AJ36" s="14" t="str">
        <f aca="false">IF(AE36="","",IF(AND(AE36=M36,ABS(N(AF36)-N(O36))&lt;=0.01,ABS(N(AG36)-N(P36))&lt;=0.01,ABS(N(AH36)-N(Q36))&lt;=0.01),"Y","N"))</f>
        <v/>
      </c>
      <c r="AK36" s="15"/>
      <c r="AL36" s="25"/>
      <c r="AM36" s="14" t="str">
        <f aca="false">IF(OR(AL36="",O36=""),"",IF(ABS(N(AL36)-N(O36))&lt;=0.01,"Y","N"))</f>
        <v/>
      </c>
      <c r="AN36" s="15" t="s">
        <v>11</v>
      </c>
      <c r="AO36" s="14" t="str">
        <f aca="false">IFERROR(INDEX(studies!$L:$L,MATCH($C36,studies!$A:$A,0)),"")</f>
        <v>Y</v>
      </c>
      <c r="AP36" s="14" t="str">
        <f aca="false">IF(AND(M36="REPORTED",V36=""),"출처 누락",IF(AND(M36="NOT_FOUND",AC36=""),"검색범위 누락",IF(F36="ARM",IF(OR(H36="",H36="NA"),"arm 누락","OK"),IF(F36="COMPARISON",IF(OR(I36="",I36="NA"),"비교쌍 누락",IF(OR(G36="",G36="NA"),"analysis_id 누락","OK")),IF(F36="","","OK")))))</f>
        <v>OK</v>
      </c>
      <c r="AQ36" s="15"/>
    </row>
    <row r="37" customFormat="false" ht="35.05" hidden="false" customHeight="false" outlineLevel="0" collapsed="false">
      <c r="A37" s="28" t="s">
        <v>300</v>
      </c>
      <c r="B37" s="28" t="s">
        <v>169</v>
      </c>
      <c r="C37" s="28" t="s">
        <v>80</v>
      </c>
      <c r="D37" s="28" t="s">
        <v>264</v>
      </c>
      <c r="E37" s="14" t="str">
        <f aca="false">IFERROR(INDEX(field_dictionary!$B:$B,MATCH($D37,field_dictionary!$A:$A,0)),"")</f>
        <v>PK</v>
      </c>
      <c r="F37" s="14" t="str">
        <f aca="false">IFERROR(INDEX(field_dictionary!$C:$C,MATCH($D37,field_dictionary!$A:$A,0)),"")</f>
        <v>COMPARISON</v>
      </c>
      <c r="G37" s="28" t="s">
        <v>301</v>
      </c>
      <c r="H37" s="28" t="s">
        <v>155</v>
      </c>
      <c r="I37" s="28" t="s">
        <v>265</v>
      </c>
      <c r="J37" s="28" t="s">
        <v>233</v>
      </c>
      <c r="K37" s="28" t="s">
        <v>266</v>
      </c>
      <c r="L37" s="28" t="s">
        <v>302</v>
      </c>
      <c r="M37" s="15" t="s">
        <v>62</v>
      </c>
      <c r="N37" s="15" t="s">
        <v>303</v>
      </c>
      <c r="O37" s="25" t="n">
        <v>101</v>
      </c>
      <c r="P37" s="25" t="n">
        <v>92</v>
      </c>
      <c r="Q37" s="25" t="n">
        <v>111</v>
      </c>
      <c r="R37" s="15" t="s">
        <v>160</v>
      </c>
      <c r="S37" s="15" t="n">
        <v>62</v>
      </c>
      <c r="T37" s="15" t="n">
        <v>64</v>
      </c>
      <c r="U37" s="15"/>
      <c r="V37" s="15" t="s">
        <v>173</v>
      </c>
      <c r="W37" s="15" t="n">
        <v>48</v>
      </c>
      <c r="X37" s="15" t="s">
        <v>304</v>
      </c>
      <c r="Y37" s="15" t="s">
        <v>305</v>
      </c>
      <c r="Z37" s="15" t="s">
        <v>163</v>
      </c>
      <c r="AA37" s="15" t="s">
        <v>306</v>
      </c>
      <c r="AB37" s="15" t="s">
        <v>307</v>
      </c>
      <c r="AC37" s="15"/>
      <c r="AD37" s="15" t="s">
        <v>177</v>
      </c>
      <c r="AE37" s="26"/>
      <c r="AF37" s="27"/>
      <c r="AG37" s="27"/>
      <c r="AH37" s="27"/>
      <c r="AI37" s="26"/>
      <c r="AJ37" s="14" t="str">
        <f aca="false">IF(AE37="","",IF(AND(AE37=M37,ABS(N(AF37)-N(O37))&lt;=0.01,ABS(N(AG37)-N(P37))&lt;=0.01,ABS(N(AH37)-N(Q37))&lt;=0.01),"Y","N"))</f>
        <v/>
      </c>
      <c r="AK37" s="15"/>
      <c r="AL37" s="25"/>
      <c r="AM37" s="14" t="str">
        <f aca="false">IF(OR(AL37="",O37=""),"",IF(ABS(N(AL37)-N(O37))&lt;=0.01,"Y","N"))</f>
        <v/>
      </c>
      <c r="AN37" s="15" t="s">
        <v>11</v>
      </c>
      <c r="AO37" s="14" t="str">
        <f aca="false">IFERROR(INDEX(studies!$L:$L,MATCH($C37,studies!$A:$A,0)),"")</f>
        <v>Y</v>
      </c>
      <c r="AP37" s="14" t="str">
        <f aca="false">IF(AND(M37="REPORTED",V37=""),"출처 누락",IF(AND(M37="NOT_FOUND",AC37=""),"검색범위 누락",IF(F37="ARM",IF(OR(H37="",H37="NA"),"arm 누락","OK"),IF(F37="COMPARISON",IF(OR(I37="",I37="NA"),"비교쌍 누락",IF(OR(G37="",G37="NA"),"analysis_id 누락","OK")),IF(F37="","","OK")))))</f>
        <v>OK</v>
      </c>
      <c r="AQ37" s="13" t="s">
        <v>308</v>
      </c>
    </row>
    <row r="38" customFormat="false" ht="35.05" hidden="false" customHeight="false" outlineLevel="0" collapsed="false">
      <c r="A38" s="28" t="s">
        <v>309</v>
      </c>
      <c r="B38" s="28" t="s">
        <v>169</v>
      </c>
      <c r="C38" s="28" t="s">
        <v>80</v>
      </c>
      <c r="D38" s="28" t="s">
        <v>166</v>
      </c>
      <c r="E38" s="14" t="str">
        <f aca="false">IFERROR(INDEX(field_dictionary!$B:$B,MATCH($D38,field_dictionary!$A:$A,0)),"")</f>
        <v>PK</v>
      </c>
      <c r="F38" s="14" t="str">
        <f aca="false">IFERROR(INDEX(field_dictionary!$C:$C,MATCH($D38,field_dictionary!$A:$A,0)),"")</f>
        <v>COMPARISON</v>
      </c>
      <c r="G38" s="28" t="s">
        <v>301</v>
      </c>
      <c r="H38" s="28" t="s">
        <v>155</v>
      </c>
      <c r="I38" s="28" t="s">
        <v>265</v>
      </c>
      <c r="J38" s="28" t="s">
        <v>233</v>
      </c>
      <c r="K38" s="28" t="s">
        <v>266</v>
      </c>
      <c r="L38" s="28" t="s">
        <v>302</v>
      </c>
      <c r="M38" s="15" t="s">
        <v>62</v>
      </c>
      <c r="N38" s="15" t="s">
        <v>310</v>
      </c>
      <c r="O38" s="25" t="n">
        <v>93</v>
      </c>
      <c r="P38" s="25" t="n">
        <v>85</v>
      </c>
      <c r="Q38" s="25" t="n">
        <v>102</v>
      </c>
      <c r="R38" s="15" t="s">
        <v>160</v>
      </c>
      <c r="S38" s="15" t="n">
        <v>62</v>
      </c>
      <c r="T38" s="15" t="n">
        <v>64</v>
      </c>
      <c r="U38" s="15"/>
      <c r="V38" s="15" t="s">
        <v>173</v>
      </c>
      <c r="W38" s="15" t="n">
        <v>48</v>
      </c>
      <c r="X38" s="15" t="s">
        <v>304</v>
      </c>
      <c r="Y38" s="15" t="s">
        <v>305</v>
      </c>
      <c r="Z38" s="15" t="s">
        <v>163</v>
      </c>
      <c r="AA38" s="15" t="s">
        <v>306</v>
      </c>
      <c r="AB38" s="15" t="s">
        <v>307</v>
      </c>
      <c r="AC38" s="15"/>
      <c r="AD38" s="15" t="s">
        <v>177</v>
      </c>
      <c r="AE38" s="26"/>
      <c r="AF38" s="27"/>
      <c r="AG38" s="27"/>
      <c r="AH38" s="27"/>
      <c r="AI38" s="26"/>
      <c r="AJ38" s="14" t="str">
        <f aca="false">IF(AE38="","",IF(AND(AE38=M38,ABS(N(AF38)-N(O38))&lt;=0.01,ABS(N(AG38)-N(P38))&lt;=0.01,ABS(N(AH38)-N(Q38))&lt;=0.01),"Y","N"))</f>
        <v/>
      </c>
      <c r="AK38" s="15"/>
      <c r="AL38" s="25"/>
      <c r="AM38" s="14" t="str">
        <f aca="false">IF(OR(AL38="",O38=""),"",IF(ABS(N(AL38)-N(O38))&lt;=0.01,"Y","N"))</f>
        <v/>
      </c>
      <c r="AN38" s="15" t="s">
        <v>11</v>
      </c>
      <c r="AO38" s="14" t="str">
        <f aca="false">IFERROR(INDEX(studies!$L:$L,MATCH($C38,studies!$A:$A,0)),"")</f>
        <v>Y</v>
      </c>
      <c r="AP38" s="14" t="str">
        <f aca="false">IF(AND(M38="REPORTED",V38=""),"출처 누락",IF(AND(M38="NOT_FOUND",AC38=""),"검색범위 누락",IF(F38="ARM",IF(OR(H38="",H38="NA"),"arm 누락","OK"),IF(F38="COMPARISON",IF(OR(I38="",I38="NA"),"비교쌍 누락",IF(OR(G38="",G38="NA"),"analysis_id 누락","OK")),IF(F38="","","OK")))))</f>
        <v>OK</v>
      </c>
      <c r="AQ38" s="13" t="s">
        <v>308</v>
      </c>
    </row>
    <row r="39" customFormat="false" ht="29.85" hidden="false" customHeight="false" outlineLevel="0" collapsed="false">
      <c r="A39" s="28" t="s">
        <v>311</v>
      </c>
      <c r="B39" s="28" t="s">
        <v>169</v>
      </c>
      <c r="C39" s="28" t="s">
        <v>80</v>
      </c>
      <c r="D39" s="28" t="s">
        <v>264</v>
      </c>
      <c r="E39" s="14" t="str">
        <f aca="false">IFERROR(INDEX(field_dictionary!$B:$B,MATCH($D39,field_dictionary!$A:$A,0)),"")</f>
        <v>PK</v>
      </c>
      <c r="F39" s="14" t="str">
        <f aca="false">IFERROR(INDEX(field_dictionary!$C:$C,MATCH($D39,field_dictionary!$A:$A,0)),"")</f>
        <v>COMPARISON</v>
      </c>
      <c r="G39" s="28" t="s">
        <v>301</v>
      </c>
      <c r="H39" s="28" t="s">
        <v>155</v>
      </c>
      <c r="I39" s="28" t="s">
        <v>275</v>
      </c>
      <c r="J39" s="28" t="s">
        <v>233</v>
      </c>
      <c r="K39" s="28" t="s">
        <v>266</v>
      </c>
      <c r="L39" s="28" t="s">
        <v>302</v>
      </c>
      <c r="M39" s="15" t="s">
        <v>62</v>
      </c>
      <c r="N39" s="15" t="s">
        <v>312</v>
      </c>
      <c r="O39" s="25" t="n">
        <v>102</v>
      </c>
      <c r="P39" s="25" t="n">
        <v>94</v>
      </c>
      <c r="Q39" s="25" t="n">
        <v>112</v>
      </c>
      <c r="R39" s="15" t="s">
        <v>160</v>
      </c>
      <c r="S39" s="15" t="n">
        <v>62</v>
      </c>
      <c r="T39" s="15" t="n">
        <v>60</v>
      </c>
      <c r="U39" s="15"/>
      <c r="V39" s="15" t="s">
        <v>173</v>
      </c>
      <c r="W39" s="15" t="n">
        <v>46</v>
      </c>
      <c r="X39" s="15" t="s">
        <v>313</v>
      </c>
      <c r="Y39" s="15" t="s">
        <v>314</v>
      </c>
      <c r="Z39" s="15" t="s">
        <v>315</v>
      </c>
      <c r="AA39" s="15"/>
      <c r="AB39" s="15"/>
      <c r="AC39" s="15"/>
      <c r="AD39" s="15" t="s">
        <v>316</v>
      </c>
      <c r="AE39" s="26"/>
      <c r="AF39" s="27"/>
      <c r="AG39" s="27"/>
      <c r="AH39" s="27"/>
      <c r="AI39" s="26"/>
      <c r="AJ39" s="14" t="str">
        <f aca="false">IF(AE39="","",IF(AND(AE39=M39,ABS(N(AF39)-N(O39))&lt;=0.01,ABS(N(AG39)-N(P39))&lt;=0.01,ABS(N(AH39)-N(Q39))&lt;=0.01),"Y","N"))</f>
        <v/>
      </c>
      <c r="AK39" s="15"/>
      <c r="AL39" s="25"/>
      <c r="AM39" s="14" t="str">
        <f aca="false">IF(OR(AL39="",O39=""),"",IF(ABS(N(AL39)-N(O39))&lt;=0.01,"Y","N"))</f>
        <v/>
      </c>
      <c r="AN39" s="15" t="s">
        <v>11</v>
      </c>
      <c r="AO39" s="14" t="str">
        <f aca="false">IFERROR(INDEX(studies!$L:$L,MATCH($C39,studies!$A:$A,0)),"")</f>
        <v>Y</v>
      </c>
      <c r="AP39" s="14" t="str">
        <f aca="false">IF(AND(M39="REPORTED",V39=""),"출처 누락",IF(AND(M39="NOT_FOUND",AC39=""),"검색범위 누락",IF(F39="ARM",IF(OR(H39="",H39="NA"),"arm 누락","OK"),IF(F39="COMPARISON",IF(OR(I39="",I39="NA"),"비교쌍 누락",IF(OR(G39="",G39="NA"),"analysis_id 누락","OK")),IF(F39="","","OK")))))</f>
        <v>OK</v>
      </c>
      <c r="AQ39" s="13" t="s">
        <v>308</v>
      </c>
    </row>
    <row r="40" customFormat="false" ht="29.85" hidden="false" customHeight="false" outlineLevel="0" collapsed="false">
      <c r="A40" s="28" t="s">
        <v>317</v>
      </c>
      <c r="B40" s="28" t="s">
        <v>169</v>
      </c>
      <c r="C40" s="28" t="s">
        <v>80</v>
      </c>
      <c r="D40" s="28" t="s">
        <v>166</v>
      </c>
      <c r="E40" s="14" t="str">
        <f aca="false">IFERROR(INDEX(field_dictionary!$B:$B,MATCH($D40,field_dictionary!$A:$A,0)),"")</f>
        <v>PK</v>
      </c>
      <c r="F40" s="14" t="str">
        <f aca="false">IFERROR(INDEX(field_dictionary!$C:$C,MATCH($D40,field_dictionary!$A:$A,0)),"")</f>
        <v>COMPARISON</v>
      </c>
      <c r="G40" s="28" t="s">
        <v>301</v>
      </c>
      <c r="H40" s="28" t="s">
        <v>155</v>
      </c>
      <c r="I40" s="28" t="s">
        <v>275</v>
      </c>
      <c r="J40" s="28" t="s">
        <v>233</v>
      </c>
      <c r="K40" s="28" t="s">
        <v>266</v>
      </c>
      <c r="L40" s="28" t="s">
        <v>302</v>
      </c>
      <c r="M40" s="15" t="s">
        <v>62</v>
      </c>
      <c r="N40" s="15" t="s">
        <v>318</v>
      </c>
      <c r="O40" s="25" t="n">
        <v>96</v>
      </c>
      <c r="P40" s="25" t="n">
        <v>88</v>
      </c>
      <c r="Q40" s="25" t="n">
        <v>105</v>
      </c>
      <c r="R40" s="15" t="s">
        <v>160</v>
      </c>
      <c r="S40" s="15" t="n">
        <v>62</v>
      </c>
      <c r="T40" s="15" t="n">
        <v>60</v>
      </c>
      <c r="U40" s="15"/>
      <c r="V40" s="15" t="s">
        <v>173</v>
      </c>
      <c r="W40" s="15" t="n">
        <v>46</v>
      </c>
      <c r="X40" s="15" t="s">
        <v>313</v>
      </c>
      <c r="Y40" s="15" t="s">
        <v>314</v>
      </c>
      <c r="Z40" s="15" t="s">
        <v>315</v>
      </c>
      <c r="AA40" s="15"/>
      <c r="AB40" s="15"/>
      <c r="AC40" s="15"/>
      <c r="AD40" s="15" t="s">
        <v>316</v>
      </c>
      <c r="AE40" s="26"/>
      <c r="AF40" s="27"/>
      <c r="AG40" s="27"/>
      <c r="AH40" s="27"/>
      <c r="AI40" s="26"/>
      <c r="AJ40" s="14" t="str">
        <f aca="false">IF(AE40="","",IF(AND(AE40=M40,ABS(N(AF40)-N(O40))&lt;=0.01,ABS(N(AG40)-N(P40))&lt;=0.01,ABS(N(AH40)-N(Q40))&lt;=0.01),"Y","N"))</f>
        <v/>
      </c>
      <c r="AK40" s="15"/>
      <c r="AL40" s="25"/>
      <c r="AM40" s="14" t="str">
        <f aca="false">IF(OR(AL40="",O40=""),"",IF(ABS(N(AL40)-N(O40))&lt;=0.01,"Y","N"))</f>
        <v/>
      </c>
      <c r="AN40" s="15" t="s">
        <v>11</v>
      </c>
      <c r="AO40" s="14" t="str">
        <f aca="false">IFERROR(INDEX(studies!$L:$L,MATCH($C40,studies!$A:$A,0)),"")</f>
        <v>Y</v>
      </c>
      <c r="AP40" s="14" t="str">
        <f aca="false">IF(AND(M40="REPORTED",V40=""),"출처 누락",IF(AND(M40="NOT_FOUND",AC40=""),"검색범위 누락",IF(F40="ARM",IF(OR(H40="",H40="NA"),"arm 누락","OK"),IF(F40="COMPARISON",IF(OR(I40="",I40="NA"),"비교쌍 누락",IF(OR(G40="",G40="NA"),"analysis_id 누락","OK")),IF(F40="","","OK")))))</f>
        <v>OK</v>
      </c>
      <c r="AQ40" s="13" t="s">
        <v>308</v>
      </c>
    </row>
    <row r="41" customFormat="false" ht="29.85" hidden="false" customHeight="false" outlineLevel="0" collapsed="false">
      <c r="A41" s="28" t="s">
        <v>319</v>
      </c>
      <c r="B41" s="28" t="s">
        <v>169</v>
      </c>
      <c r="C41" s="28" t="s">
        <v>80</v>
      </c>
      <c r="D41" s="28" t="s">
        <v>264</v>
      </c>
      <c r="E41" s="14" t="str">
        <f aca="false">IFERROR(INDEX(field_dictionary!$B:$B,MATCH($D41,field_dictionary!$A:$A,0)),"")</f>
        <v>PK</v>
      </c>
      <c r="F41" s="14" t="str">
        <f aca="false">IFERROR(INDEX(field_dictionary!$C:$C,MATCH($D41,field_dictionary!$A:$A,0)),"")</f>
        <v>COMPARISON</v>
      </c>
      <c r="G41" s="28" t="s">
        <v>301</v>
      </c>
      <c r="H41" s="28" t="s">
        <v>155</v>
      </c>
      <c r="I41" s="28" t="s">
        <v>279</v>
      </c>
      <c r="J41" s="28" t="s">
        <v>233</v>
      </c>
      <c r="K41" s="28" t="s">
        <v>266</v>
      </c>
      <c r="L41" s="28" t="s">
        <v>302</v>
      </c>
      <c r="M41" s="15" t="s">
        <v>62</v>
      </c>
      <c r="N41" s="15" t="s">
        <v>320</v>
      </c>
      <c r="O41" s="25" t="n">
        <v>100</v>
      </c>
      <c r="P41" s="25" t="n">
        <v>92</v>
      </c>
      <c r="Q41" s="25" t="n">
        <v>110</v>
      </c>
      <c r="R41" s="15" t="s">
        <v>160</v>
      </c>
      <c r="S41" s="15" t="n">
        <v>64</v>
      </c>
      <c r="T41" s="15" t="n">
        <v>60</v>
      </c>
      <c r="U41" s="15"/>
      <c r="V41" s="15" t="s">
        <v>173</v>
      </c>
      <c r="W41" s="15" t="n">
        <v>46</v>
      </c>
      <c r="X41" s="15" t="s">
        <v>313</v>
      </c>
      <c r="Y41" s="15" t="s">
        <v>314</v>
      </c>
      <c r="Z41" s="15" t="s">
        <v>315</v>
      </c>
      <c r="AA41" s="15"/>
      <c r="AB41" s="15"/>
      <c r="AC41" s="15"/>
      <c r="AD41" s="15" t="s">
        <v>316</v>
      </c>
      <c r="AE41" s="26"/>
      <c r="AF41" s="27"/>
      <c r="AG41" s="27"/>
      <c r="AH41" s="27"/>
      <c r="AI41" s="26"/>
      <c r="AJ41" s="14" t="str">
        <f aca="false">IF(AE41="","",IF(AND(AE41=M41,ABS(N(AF41)-N(O41))&lt;=0.01,ABS(N(AG41)-N(P41))&lt;=0.01,ABS(N(AH41)-N(Q41))&lt;=0.01),"Y","N"))</f>
        <v/>
      </c>
      <c r="AK41" s="15"/>
      <c r="AL41" s="25"/>
      <c r="AM41" s="14" t="str">
        <f aca="false">IF(OR(AL41="",O41=""),"",IF(ABS(N(AL41)-N(O41))&lt;=0.01,"Y","N"))</f>
        <v/>
      </c>
      <c r="AN41" s="15" t="s">
        <v>11</v>
      </c>
      <c r="AO41" s="14" t="str">
        <f aca="false">IFERROR(INDEX(studies!$L:$L,MATCH($C41,studies!$A:$A,0)),"")</f>
        <v>Y</v>
      </c>
      <c r="AP41" s="14" t="str">
        <f aca="false">IF(AND(M41="REPORTED",V41=""),"출처 누락",IF(AND(M41="NOT_FOUND",AC41=""),"검색범위 누락",IF(F41="ARM",IF(OR(H41="",H41="NA"),"arm 누락","OK"),IF(F41="COMPARISON",IF(OR(I41="",I41="NA"),"비교쌍 누락",IF(OR(G41="",G41="NA"),"analysis_id 누락","OK")),IF(F41="","","OK")))))</f>
        <v>OK</v>
      </c>
      <c r="AQ41" s="13" t="s">
        <v>308</v>
      </c>
    </row>
    <row r="42" customFormat="false" ht="29.85" hidden="false" customHeight="false" outlineLevel="0" collapsed="false">
      <c r="A42" s="28" t="s">
        <v>321</v>
      </c>
      <c r="B42" s="28" t="s">
        <v>169</v>
      </c>
      <c r="C42" s="28" t="s">
        <v>80</v>
      </c>
      <c r="D42" s="28" t="s">
        <v>166</v>
      </c>
      <c r="E42" s="14" t="str">
        <f aca="false">IFERROR(INDEX(field_dictionary!$B:$B,MATCH($D42,field_dictionary!$A:$A,0)),"")</f>
        <v>PK</v>
      </c>
      <c r="F42" s="14" t="str">
        <f aca="false">IFERROR(INDEX(field_dictionary!$C:$C,MATCH($D42,field_dictionary!$A:$A,0)),"")</f>
        <v>COMPARISON</v>
      </c>
      <c r="G42" s="28" t="s">
        <v>301</v>
      </c>
      <c r="H42" s="28" t="s">
        <v>155</v>
      </c>
      <c r="I42" s="28" t="s">
        <v>279</v>
      </c>
      <c r="J42" s="28" t="s">
        <v>233</v>
      </c>
      <c r="K42" s="28" t="s">
        <v>266</v>
      </c>
      <c r="L42" s="28" t="s">
        <v>302</v>
      </c>
      <c r="M42" s="15" t="s">
        <v>62</v>
      </c>
      <c r="N42" s="15" t="s">
        <v>312</v>
      </c>
      <c r="O42" s="25" t="n">
        <v>102</v>
      </c>
      <c r="P42" s="25" t="n">
        <v>94</v>
      </c>
      <c r="Q42" s="25" t="n">
        <v>112</v>
      </c>
      <c r="R42" s="15" t="s">
        <v>160</v>
      </c>
      <c r="S42" s="15" t="n">
        <v>64</v>
      </c>
      <c r="T42" s="15" t="n">
        <v>60</v>
      </c>
      <c r="U42" s="15"/>
      <c r="V42" s="15" t="s">
        <v>173</v>
      </c>
      <c r="W42" s="15" t="n">
        <v>46</v>
      </c>
      <c r="X42" s="15" t="s">
        <v>313</v>
      </c>
      <c r="Y42" s="15" t="s">
        <v>314</v>
      </c>
      <c r="Z42" s="15" t="s">
        <v>315</v>
      </c>
      <c r="AA42" s="15"/>
      <c r="AB42" s="15"/>
      <c r="AC42" s="15"/>
      <c r="AD42" s="15" t="s">
        <v>316</v>
      </c>
      <c r="AE42" s="26"/>
      <c r="AF42" s="27"/>
      <c r="AG42" s="27"/>
      <c r="AH42" s="27"/>
      <c r="AI42" s="26"/>
      <c r="AJ42" s="14" t="str">
        <f aca="false">IF(AE42="","",IF(AND(AE42=M42,ABS(N(AF42)-N(O42))&lt;=0.01,ABS(N(AG42)-N(P42))&lt;=0.01,ABS(N(AH42)-N(Q42))&lt;=0.01),"Y","N"))</f>
        <v/>
      </c>
      <c r="AK42" s="15"/>
      <c r="AL42" s="25"/>
      <c r="AM42" s="14" t="str">
        <f aca="false">IF(OR(AL42="",O42=""),"",IF(ABS(N(AL42)-N(O42))&lt;=0.01,"Y","N"))</f>
        <v/>
      </c>
      <c r="AN42" s="15" t="s">
        <v>11</v>
      </c>
      <c r="AO42" s="14" t="str">
        <f aca="false">IFERROR(INDEX(studies!$L:$L,MATCH($C42,studies!$A:$A,0)),"")</f>
        <v>Y</v>
      </c>
      <c r="AP42" s="14" t="str">
        <f aca="false">IF(AND(M42="REPORTED",V42=""),"출처 누락",IF(AND(M42="NOT_FOUND",AC42=""),"검색범위 누락",IF(F42="ARM",IF(OR(H42="",H42="NA"),"arm 누락","OK"),IF(F42="COMPARISON",IF(OR(I42="",I42="NA"),"비교쌍 누락",IF(OR(G42="",G42="NA"),"analysis_id 누락","OK")),IF(F42="","","OK")))))</f>
        <v>OK</v>
      </c>
      <c r="AQ42" s="13" t="s">
        <v>308</v>
      </c>
    </row>
    <row r="43" customFormat="false" ht="29.85" hidden="false" customHeight="false" outlineLevel="0" collapsed="false">
      <c r="A43" s="28" t="s">
        <v>322</v>
      </c>
      <c r="B43" s="28" t="s">
        <v>169</v>
      </c>
      <c r="C43" s="28" t="s">
        <v>80</v>
      </c>
      <c r="D43" s="28" t="s">
        <v>255</v>
      </c>
      <c r="E43" s="14" t="str">
        <f aca="false">IFERROR(INDEX(field_dictionary!$B:$B,MATCH($D43,field_dictionary!$A:$A,0)),"")</f>
        <v>IMMUNO</v>
      </c>
      <c r="F43" s="14" t="str">
        <f aca="false">IFERROR(INDEX(field_dictionary!$C:$C,MATCH($D43,field_dictionary!$A:$A,0)),"")</f>
        <v>ARM</v>
      </c>
      <c r="G43" s="28" t="s">
        <v>323</v>
      </c>
      <c r="H43" s="28" t="s">
        <v>220</v>
      </c>
      <c r="I43" s="28" t="s">
        <v>155</v>
      </c>
      <c r="J43" s="28" t="s">
        <v>242</v>
      </c>
      <c r="K43" s="28" t="s">
        <v>324</v>
      </c>
      <c r="L43" s="28" t="s">
        <v>302</v>
      </c>
      <c r="M43" s="15" t="s">
        <v>62</v>
      </c>
      <c r="N43" s="15" t="s">
        <v>325</v>
      </c>
      <c r="O43" s="25" t="n">
        <v>35.7</v>
      </c>
      <c r="P43" s="25"/>
      <c r="Q43" s="25"/>
      <c r="R43" s="15" t="s">
        <v>160</v>
      </c>
      <c r="S43" s="15"/>
      <c r="T43" s="15"/>
      <c r="U43" s="15" t="s">
        <v>326</v>
      </c>
      <c r="V43" s="15" t="s">
        <v>173</v>
      </c>
      <c r="W43" s="15" t="n">
        <v>50</v>
      </c>
      <c r="X43" s="15" t="s">
        <v>246</v>
      </c>
      <c r="Y43" s="15" t="s">
        <v>247</v>
      </c>
      <c r="Z43" s="15" t="s">
        <v>163</v>
      </c>
      <c r="AA43" s="15" t="s">
        <v>327</v>
      </c>
      <c r="AB43" s="15" t="s">
        <v>328</v>
      </c>
      <c r="AC43" s="15"/>
      <c r="AD43" s="15" t="s">
        <v>177</v>
      </c>
      <c r="AE43" s="26"/>
      <c r="AF43" s="27"/>
      <c r="AG43" s="27"/>
      <c r="AH43" s="27"/>
      <c r="AI43" s="26"/>
      <c r="AJ43" s="14" t="str">
        <f aca="false">IF(AE43="","",IF(AND(AE43=M43,ABS(N(AF43)-N(O43))&lt;=0.01,ABS(N(AG43)-N(P43))&lt;=0.01,ABS(N(AH43)-N(Q43))&lt;=0.01),"Y","N"))</f>
        <v/>
      </c>
      <c r="AK43" s="15"/>
      <c r="AL43" s="25"/>
      <c r="AM43" s="14" t="str">
        <f aca="false">IF(OR(AL43="",O43=""),"",IF(ABS(N(AL43)-N(O43))&lt;=0.01,"Y","N"))</f>
        <v/>
      </c>
      <c r="AN43" s="15" t="s">
        <v>11</v>
      </c>
      <c r="AO43" s="14" t="str">
        <f aca="false">IFERROR(INDEX(studies!$L:$L,MATCH($C43,studies!$A:$A,0)),"")</f>
        <v>Y</v>
      </c>
      <c r="AP43" s="14" t="str">
        <f aca="false">IF(AND(M43="REPORTED",V43=""),"출처 누락",IF(AND(M43="NOT_FOUND",AC43=""),"검색범위 누락",IF(F43="ARM",IF(OR(H43="",H43="NA"),"arm 누락","OK"),IF(F43="COMPARISON",IF(OR(I43="",I43="NA"),"비교쌍 누락",IF(OR(G43="",G43="NA"),"analysis_id 누락","OK")),IF(F43="","","OK")))))</f>
        <v>OK</v>
      </c>
      <c r="AQ43" s="13" t="s">
        <v>329</v>
      </c>
    </row>
    <row r="44" customFormat="false" ht="29.85" hidden="false" customHeight="false" outlineLevel="0" collapsed="false">
      <c r="A44" s="28" t="s">
        <v>330</v>
      </c>
      <c r="B44" s="28" t="s">
        <v>169</v>
      </c>
      <c r="C44" s="28" t="s">
        <v>80</v>
      </c>
      <c r="D44" s="28" t="s">
        <v>255</v>
      </c>
      <c r="E44" s="14" t="str">
        <f aca="false">IFERROR(INDEX(field_dictionary!$B:$B,MATCH($D44,field_dictionary!$A:$A,0)),"")</f>
        <v>IMMUNO</v>
      </c>
      <c r="F44" s="14" t="str">
        <f aca="false">IFERROR(INDEX(field_dictionary!$C:$C,MATCH($D44,field_dictionary!$A:$A,0)),"")</f>
        <v>ARM</v>
      </c>
      <c r="G44" s="28" t="s">
        <v>323</v>
      </c>
      <c r="H44" s="28" t="s">
        <v>228</v>
      </c>
      <c r="I44" s="28" t="s">
        <v>155</v>
      </c>
      <c r="J44" s="28" t="s">
        <v>242</v>
      </c>
      <c r="K44" s="28" t="s">
        <v>324</v>
      </c>
      <c r="L44" s="28" t="s">
        <v>302</v>
      </c>
      <c r="M44" s="15" t="s">
        <v>62</v>
      </c>
      <c r="N44" s="15" t="s">
        <v>331</v>
      </c>
      <c r="O44" s="25" t="n">
        <v>63.2</v>
      </c>
      <c r="P44" s="25"/>
      <c r="Q44" s="25"/>
      <c r="R44" s="15" t="s">
        <v>160</v>
      </c>
      <c r="S44" s="15"/>
      <c r="T44" s="15"/>
      <c r="U44" s="15" t="s">
        <v>326</v>
      </c>
      <c r="V44" s="15" t="s">
        <v>173</v>
      </c>
      <c r="W44" s="15" t="n">
        <v>50</v>
      </c>
      <c r="X44" s="15" t="s">
        <v>246</v>
      </c>
      <c r="Y44" s="15" t="s">
        <v>247</v>
      </c>
      <c r="Z44" s="15" t="s">
        <v>163</v>
      </c>
      <c r="AA44" s="15" t="s">
        <v>327</v>
      </c>
      <c r="AB44" s="15" t="s">
        <v>328</v>
      </c>
      <c r="AC44" s="15"/>
      <c r="AD44" s="15" t="s">
        <v>177</v>
      </c>
      <c r="AE44" s="26"/>
      <c r="AF44" s="27"/>
      <c r="AG44" s="27"/>
      <c r="AH44" s="27"/>
      <c r="AI44" s="26"/>
      <c r="AJ44" s="14" t="str">
        <f aca="false">IF(AE44="","",IF(AND(AE44=M44,ABS(N(AF44)-N(O44))&lt;=0.01,ABS(N(AG44)-N(P44))&lt;=0.01,ABS(N(AH44)-N(Q44))&lt;=0.01),"Y","N"))</f>
        <v/>
      </c>
      <c r="AK44" s="15"/>
      <c r="AL44" s="25"/>
      <c r="AM44" s="14" t="str">
        <f aca="false">IF(OR(AL44="",O44=""),"",IF(ABS(N(AL44)-N(O44))&lt;=0.01,"Y","N"))</f>
        <v/>
      </c>
      <c r="AN44" s="15" t="s">
        <v>11</v>
      </c>
      <c r="AO44" s="14" t="str">
        <f aca="false">IFERROR(INDEX(studies!$L:$L,MATCH($C44,studies!$A:$A,0)),"")</f>
        <v>Y</v>
      </c>
      <c r="AP44" s="14" t="str">
        <f aca="false">IF(AND(M44="REPORTED",V44=""),"출처 누락",IF(AND(M44="NOT_FOUND",AC44=""),"검색범위 누락",IF(F44="ARM",IF(OR(H44="",H44="NA"),"arm 누락","OK"),IF(F44="COMPARISON",IF(OR(I44="",I44="NA"),"비교쌍 누락",IF(OR(G44="",G44="NA"),"analysis_id 누락","OK")),IF(F44="","","OK")))))</f>
        <v>OK</v>
      </c>
      <c r="AQ44" s="13" t="s">
        <v>329</v>
      </c>
    </row>
    <row r="45" customFormat="false" ht="29.85" hidden="false" customHeight="false" outlineLevel="0" collapsed="false">
      <c r="A45" s="28" t="s">
        <v>332</v>
      </c>
      <c r="B45" s="28" t="s">
        <v>169</v>
      </c>
      <c r="C45" s="28" t="s">
        <v>80</v>
      </c>
      <c r="D45" s="28" t="s">
        <v>255</v>
      </c>
      <c r="E45" s="14" t="str">
        <f aca="false">IFERROR(INDEX(field_dictionary!$B:$B,MATCH($D45,field_dictionary!$A:$A,0)),"")</f>
        <v>IMMUNO</v>
      </c>
      <c r="F45" s="14" t="str">
        <f aca="false">IFERROR(INDEX(field_dictionary!$C:$C,MATCH($D45,field_dictionary!$A:$A,0)),"")</f>
        <v>ARM</v>
      </c>
      <c r="G45" s="28" t="s">
        <v>323</v>
      </c>
      <c r="H45" s="28" t="s">
        <v>230</v>
      </c>
      <c r="I45" s="28" t="s">
        <v>155</v>
      </c>
      <c r="J45" s="28" t="s">
        <v>242</v>
      </c>
      <c r="K45" s="28" t="s">
        <v>324</v>
      </c>
      <c r="L45" s="28" t="s">
        <v>302</v>
      </c>
      <c r="M45" s="15" t="s">
        <v>62</v>
      </c>
      <c r="N45" s="15" t="s">
        <v>333</v>
      </c>
      <c r="O45" s="25" t="n">
        <v>57.9</v>
      </c>
      <c r="P45" s="25"/>
      <c r="Q45" s="25"/>
      <c r="R45" s="15" t="s">
        <v>160</v>
      </c>
      <c r="S45" s="15"/>
      <c r="T45" s="15"/>
      <c r="U45" s="15" t="s">
        <v>326</v>
      </c>
      <c r="V45" s="15" t="s">
        <v>173</v>
      </c>
      <c r="W45" s="15" t="n">
        <v>50</v>
      </c>
      <c r="X45" s="15" t="s">
        <v>246</v>
      </c>
      <c r="Y45" s="15" t="s">
        <v>247</v>
      </c>
      <c r="Z45" s="15" t="s">
        <v>163</v>
      </c>
      <c r="AA45" s="15" t="s">
        <v>327</v>
      </c>
      <c r="AB45" s="15" t="s">
        <v>328</v>
      </c>
      <c r="AC45" s="15"/>
      <c r="AD45" s="15" t="s">
        <v>177</v>
      </c>
      <c r="AE45" s="26"/>
      <c r="AF45" s="27"/>
      <c r="AG45" s="27"/>
      <c r="AH45" s="27"/>
      <c r="AI45" s="26"/>
      <c r="AJ45" s="14" t="str">
        <f aca="false">IF(AE45="","",IF(AND(AE45=M45,ABS(N(AF45)-N(O45))&lt;=0.01,ABS(N(AG45)-N(P45))&lt;=0.01,ABS(N(AH45)-N(Q45))&lt;=0.01),"Y","N"))</f>
        <v/>
      </c>
      <c r="AK45" s="15"/>
      <c r="AL45" s="25"/>
      <c r="AM45" s="14" t="str">
        <f aca="false">IF(OR(AL45="",O45=""),"",IF(ABS(N(AL45)-N(O45))&lt;=0.01,"Y","N"))</f>
        <v/>
      </c>
      <c r="AN45" s="15" t="s">
        <v>11</v>
      </c>
      <c r="AO45" s="14" t="str">
        <f aca="false">IFERROR(INDEX(studies!$L:$L,MATCH($C45,studies!$A:$A,0)),"")</f>
        <v>Y</v>
      </c>
      <c r="AP45" s="14" t="str">
        <f aca="false">IF(AND(M45="REPORTED",V45=""),"출처 누락",IF(AND(M45="NOT_FOUND",AC45=""),"검색범위 누락",IF(F45="ARM",IF(OR(H45="",H45="NA"),"arm 누락","OK"),IF(F45="COMPARISON",IF(OR(I45="",I45="NA"),"비교쌍 누락",IF(OR(G45="",G45="NA"),"analysis_id 누락","OK")),IF(F45="","","OK")))))</f>
        <v>OK</v>
      </c>
      <c r="AQ45" s="13" t="s">
        <v>329</v>
      </c>
    </row>
    <row r="46" customFormat="false" ht="35.05" hidden="false" customHeight="false" outlineLevel="0" collapsed="false">
      <c r="A46" s="15" t="s">
        <v>334</v>
      </c>
      <c r="B46" s="15" t="s">
        <v>151</v>
      </c>
      <c r="C46" s="15" t="s">
        <v>81</v>
      </c>
      <c r="D46" s="15" t="s">
        <v>170</v>
      </c>
      <c r="E46" s="14" t="str">
        <f aca="false">IFERROR(INDEX(field_dictionary!$B:$B,MATCH($D46,field_dictionary!$A:$A,0)),"")</f>
        <v>DESIGN</v>
      </c>
      <c r="F46" s="14" t="str">
        <f aca="false">IFERROR(INDEX(field_dictionary!$C:$C,MATCH($D46,field_dictionary!$A:$A,0)),"")</f>
        <v>STUDY</v>
      </c>
      <c r="G46" s="15" t="s">
        <v>155</v>
      </c>
      <c r="H46" s="15" t="s">
        <v>155</v>
      </c>
      <c r="I46" s="15" t="s">
        <v>155</v>
      </c>
      <c r="J46" s="15" t="s">
        <v>155</v>
      </c>
      <c r="K46" s="15"/>
      <c r="L46" s="15" t="s">
        <v>171</v>
      </c>
      <c r="M46" s="15" t="s">
        <v>62</v>
      </c>
      <c r="N46" s="15" t="s">
        <v>335</v>
      </c>
      <c r="O46" s="25" t="n">
        <v>1</v>
      </c>
      <c r="P46" s="25"/>
      <c r="Q46" s="25"/>
      <c r="R46" s="15"/>
      <c r="S46" s="15"/>
      <c r="T46" s="15"/>
      <c r="U46" s="15"/>
      <c r="V46" s="15" t="s">
        <v>336</v>
      </c>
      <c r="W46" s="15" t="n">
        <v>42</v>
      </c>
      <c r="X46" s="15" t="s">
        <v>337</v>
      </c>
      <c r="Y46" s="15" t="s">
        <v>338</v>
      </c>
      <c r="Z46" s="15" t="s">
        <v>163</v>
      </c>
      <c r="AA46" s="15" t="s">
        <v>339</v>
      </c>
      <c r="AB46" s="15"/>
      <c r="AC46" s="15"/>
      <c r="AD46" s="15" t="s">
        <v>177</v>
      </c>
      <c r="AE46" s="26"/>
      <c r="AF46" s="27"/>
      <c r="AG46" s="27"/>
      <c r="AH46" s="27"/>
      <c r="AI46" s="26"/>
      <c r="AJ46" s="14" t="str">
        <f aca="false">IF(AE46="","",IF(AND(AE46=M46,ABS(N(AF46)-N(O46))&lt;=0.01,ABS(N(AG46)-N(P46))&lt;=0.01,ABS(N(AH46)-N(Q46))&lt;=0.01),"Y","N"))</f>
        <v/>
      </c>
      <c r="AK46" s="15"/>
      <c r="AL46" s="25"/>
      <c r="AM46" s="14" t="str">
        <f aca="false">IF(OR(AL46="",O46=""),"",IF(ABS(N(AL46)-N(O46))&lt;=0.01,"Y","N"))</f>
        <v/>
      </c>
      <c r="AN46" s="15" t="s">
        <v>11</v>
      </c>
      <c r="AO46" s="14" t="str">
        <f aca="false">IFERROR(INDEX(studies!$L:$L,MATCH($C46,studies!$A:$A,0)),"")</f>
        <v>Y</v>
      </c>
      <c r="AP46" s="14" t="str">
        <f aca="false">IF(AND(M46="REPORTED",V46=""),"출처 누락",IF(AND(M46="NOT_FOUND",AC46=""),"검색범위 누락",IF(F46="ARM",IF(OR(H46="",H46="NA"),"arm 누락","OK"),IF(F46="COMPARISON",IF(OR(I46="",I46="NA"),"비교쌍 누락",IF(OR(G46="",G46="NA"),"analysis_id 누락","OK")),IF(F46="","","OK")))))</f>
        <v>OK</v>
      </c>
      <c r="AQ46" s="15"/>
    </row>
    <row r="47" customFormat="false" ht="57.45" hidden="false" customHeight="false" outlineLevel="0" collapsed="false">
      <c r="A47" s="15" t="s">
        <v>340</v>
      </c>
      <c r="B47" s="15" t="s">
        <v>151</v>
      </c>
      <c r="C47" s="15" t="s">
        <v>81</v>
      </c>
      <c r="D47" s="15" t="s">
        <v>179</v>
      </c>
      <c r="E47" s="14" t="str">
        <f aca="false">IFERROR(INDEX(field_dictionary!$B:$B,MATCH($D47,field_dictionary!$A:$A,0)),"")</f>
        <v>DESIGN</v>
      </c>
      <c r="F47" s="14" t="str">
        <f aca="false">IFERROR(INDEX(field_dictionary!$C:$C,MATCH($D47,field_dictionary!$A:$A,0)),"")</f>
        <v>STUDY</v>
      </c>
      <c r="G47" s="15" t="s">
        <v>155</v>
      </c>
      <c r="H47" s="15" t="s">
        <v>155</v>
      </c>
      <c r="I47" s="15" t="s">
        <v>155</v>
      </c>
      <c r="J47" s="15" t="s">
        <v>155</v>
      </c>
      <c r="K47" s="15"/>
      <c r="L47" s="15" t="s">
        <v>171</v>
      </c>
      <c r="M47" s="15" t="s">
        <v>62</v>
      </c>
      <c r="N47" s="15" t="s">
        <v>341</v>
      </c>
      <c r="O47" s="25"/>
      <c r="P47" s="25"/>
      <c r="Q47" s="25"/>
      <c r="R47" s="15"/>
      <c r="S47" s="15"/>
      <c r="T47" s="15"/>
      <c r="U47" s="15"/>
      <c r="V47" s="15" t="s">
        <v>336</v>
      </c>
      <c r="W47" s="15" t="n">
        <v>41</v>
      </c>
      <c r="X47" s="15" t="s">
        <v>342</v>
      </c>
      <c r="Y47" s="15" t="s">
        <v>343</v>
      </c>
      <c r="Z47" s="15" t="s">
        <v>315</v>
      </c>
      <c r="AA47" s="15"/>
      <c r="AB47" s="15"/>
      <c r="AC47" s="15"/>
      <c r="AD47" s="15" t="s">
        <v>316</v>
      </c>
      <c r="AE47" s="26"/>
      <c r="AF47" s="27"/>
      <c r="AG47" s="27"/>
      <c r="AH47" s="27"/>
      <c r="AI47" s="26"/>
      <c r="AJ47" s="14" t="str">
        <f aca="false">IF(AE47="","",IF(AND(AE47=M47,ABS(N(AF47)-N(O47))&lt;=0.01,ABS(N(AG47)-N(P47))&lt;=0.01,ABS(N(AH47)-N(Q47))&lt;=0.01),"Y","N"))</f>
        <v/>
      </c>
      <c r="AK47" s="15"/>
      <c r="AL47" s="25"/>
      <c r="AM47" s="14" t="str">
        <f aca="false">IF(OR(AL47="",O47=""),"",IF(ABS(N(AL47)-N(O47))&lt;=0.01,"Y","N"))</f>
        <v/>
      </c>
      <c r="AN47" s="15" t="s">
        <v>11</v>
      </c>
      <c r="AO47" s="14" t="str">
        <f aca="false">IFERROR(INDEX(studies!$L:$L,MATCH($C47,studies!$A:$A,0)),"")</f>
        <v>Y</v>
      </c>
      <c r="AP47" s="14" t="str">
        <f aca="false">IF(AND(M47="REPORTED",V47=""),"출처 누락",IF(AND(M47="NOT_FOUND",AC47=""),"검색범위 누락",IF(F47="ARM",IF(OR(H47="",H47="NA"),"arm 누락","OK"),IF(F47="COMPARISON",IF(OR(I47="",I47="NA"),"비교쌍 누락",IF(OR(G47="",G47="NA"),"analysis_id 누락","OK")),IF(F47="","","OK")))))</f>
        <v>OK</v>
      </c>
      <c r="AQ47" s="13" t="s">
        <v>344</v>
      </c>
    </row>
    <row r="48" customFormat="false" ht="35.05" hidden="false" customHeight="false" outlineLevel="0" collapsed="false">
      <c r="A48" s="15" t="s">
        <v>345</v>
      </c>
      <c r="B48" s="15" t="s">
        <v>151</v>
      </c>
      <c r="C48" s="15" t="s">
        <v>81</v>
      </c>
      <c r="D48" s="15" t="s">
        <v>185</v>
      </c>
      <c r="E48" s="14" t="str">
        <f aca="false">IFERROR(INDEX(field_dictionary!$B:$B,MATCH($D48,field_dictionary!$A:$A,0)),"")</f>
        <v>DESIGN</v>
      </c>
      <c r="F48" s="14" t="str">
        <f aca="false">IFERROR(INDEX(field_dictionary!$C:$C,MATCH($D48,field_dictionary!$A:$A,0)),"")</f>
        <v>STUDY</v>
      </c>
      <c r="G48" s="15" t="s">
        <v>155</v>
      </c>
      <c r="H48" s="15" t="s">
        <v>155</v>
      </c>
      <c r="I48" s="15" t="s">
        <v>155</v>
      </c>
      <c r="J48" s="15" t="s">
        <v>155</v>
      </c>
      <c r="K48" s="15"/>
      <c r="L48" s="15" t="s">
        <v>171</v>
      </c>
      <c r="M48" s="15" t="s">
        <v>62</v>
      </c>
      <c r="N48" s="15" t="s">
        <v>346</v>
      </c>
      <c r="O48" s="25"/>
      <c r="P48" s="25"/>
      <c r="Q48" s="25"/>
      <c r="R48" s="15"/>
      <c r="S48" s="15"/>
      <c r="T48" s="15"/>
      <c r="U48" s="15"/>
      <c r="V48" s="15" t="s">
        <v>336</v>
      </c>
      <c r="W48" s="15" t="n">
        <v>42</v>
      </c>
      <c r="X48" s="15" t="s">
        <v>337</v>
      </c>
      <c r="Y48" s="15" t="s">
        <v>338</v>
      </c>
      <c r="Z48" s="15" t="s">
        <v>163</v>
      </c>
      <c r="AA48" s="15" t="s">
        <v>339</v>
      </c>
      <c r="AB48" s="15"/>
      <c r="AC48" s="15"/>
      <c r="AD48" s="15" t="s">
        <v>177</v>
      </c>
      <c r="AE48" s="26"/>
      <c r="AF48" s="27"/>
      <c r="AG48" s="27"/>
      <c r="AH48" s="27"/>
      <c r="AI48" s="26"/>
      <c r="AJ48" s="14" t="str">
        <f aca="false">IF(AE48="","",IF(AND(AE48=M48,ABS(N(AF48)-N(O48))&lt;=0.01,ABS(N(AG48)-N(P48))&lt;=0.01,ABS(N(AH48)-N(Q48))&lt;=0.01),"Y","N"))</f>
        <v/>
      </c>
      <c r="AK48" s="15"/>
      <c r="AL48" s="25"/>
      <c r="AM48" s="14" t="str">
        <f aca="false">IF(OR(AL48="",O48=""),"",IF(ABS(N(AL48)-N(O48))&lt;=0.01,"Y","N"))</f>
        <v/>
      </c>
      <c r="AN48" s="15" t="s">
        <v>11</v>
      </c>
      <c r="AO48" s="14" t="str">
        <f aca="false">IFERROR(INDEX(studies!$L:$L,MATCH($C48,studies!$A:$A,0)),"")</f>
        <v>Y</v>
      </c>
      <c r="AP48" s="14" t="str">
        <f aca="false">IF(AND(M48="REPORTED",V48=""),"출처 누락",IF(AND(M48="NOT_FOUND",AC48=""),"검색범위 누락",IF(F48="ARM",IF(OR(H48="",H48="NA"),"arm 누락","OK"),IF(F48="COMPARISON",IF(OR(I48="",I48="NA"),"비교쌍 누락",IF(OR(G48="",G48="NA"),"analysis_id 누락","OK")),IF(F48="","","OK")))))</f>
        <v>OK</v>
      </c>
      <c r="AQ48" s="15"/>
    </row>
    <row r="49" customFormat="false" ht="35.05" hidden="false" customHeight="false" outlineLevel="0" collapsed="false">
      <c r="A49" s="15" t="s">
        <v>347</v>
      </c>
      <c r="B49" s="15" t="s">
        <v>151</v>
      </c>
      <c r="C49" s="15" t="s">
        <v>81</v>
      </c>
      <c r="D49" s="15" t="s">
        <v>189</v>
      </c>
      <c r="E49" s="14" t="str">
        <f aca="false">IFERROR(INDEX(field_dictionary!$B:$B,MATCH($D49,field_dictionary!$A:$A,0)),"")</f>
        <v>DESIGN</v>
      </c>
      <c r="F49" s="14" t="str">
        <f aca="false">IFERROR(INDEX(field_dictionary!$C:$C,MATCH($D49,field_dictionary!$A:$A,0)),"")</f>
        <v>STUDY</v>
      </c>
      <c r="G49" s="15" t="s">
        <v>155</v>
      </c>
      <c r="H49" s="15" t="s">
        <v>155</v>
      </c>
      <c r="I49" s="15" t="s">
        <v>155</v>
      </c>
      <c r="J49" s="15" t="s">
        <v>155</v>
      </c>
      <c r="K49" s="15"/>
      <c r="L49" s="15" t="s">
        <v>171</v>
      </c>
      <c r="M49" s="15" t="s">
        <v>62</v>
      </c>
      <c r="N49" s="15" t="s">
        <v>348</v>
      </c>
      <c r="O49" s="25" t="n">
        <v>90</v>
      </c>
      <c r="P49" s="25"/>
      <c r="Q49" s="25"/>
      <c r="R49" s="15" t="s">
        <v>191</v>
      </c>
      <c r="S49" s="15"/>
      <c r="T49" s="15"/>
      <c r="U49" s="15"/>
      <c r="V49" s="15" t="s">
        <v>336</v>
      </c>
      <c r="W49" s="15" t="n">
        <v>42</v>
      </c>
      <c r="X49" s="15" t="s">
        <v>337</v>
      </c>
      <c r="Y49" s="15" t="s">
        <v>338</v>
      </c>
      <c r="Z49" s="15" t="s">
        <v>163</v>
      </c>
      <c r="AA49" s="15" t="s">
        <v>349</v>
      </c>
      <c r="AB49" s="15"/>
      <c r="AC49" s="15"/>
      <c r="AD49" s="15" t="s">
        <v>177</v>
      </c>
      <c r="AE49" s="26"/>
      <c r="AF49" s="27"/>
      <c r="AG49" s="27"/>
      <c r="AH49" s="27"/>
      <c r="AI49" s="26"/>
      <c r="AJ49" s="14" t="str">
        <f aca="false">IF(AE49="","",IF(AND(AE49=M49,ABS(N(AF49)-N(O49))&lt;=0.01,ABS(N(AG49)-N(P49))&lt;=0.01,ABS(N(AH49)-N(Q49))&lt;=0.01),"Y","N"))</f>
        <v/>
      </c>
      <c r="AK49" s="15"/>
      <c r="AL49" s="25"/>
      <c r="AM49" s="14" t="str">
        <f aca="false">IF(OR(AL49="",O49=""),"",IF(ABS(N(AL49)-N(O49))&lt;=0.01,"Y","N"))</f>
        <v/>
      </c>
      <c r="AN49" s="15" t="s">
        <v>11</v>
      </c>
      <c r="AO49" s="14" t="str">
        <f aca="false">IFERROR(INDEX(studies!$L:$L,MATCH($C49,studies!$A:$A,0)),"")</f>
        <v>Y</v>
      </c>
      <c r="AP49" s="14" t="str">
        <f aca="false">IF(AND(M49="REPORTED",V49=""),"출처 누락",IF(AND(M49="NOT_FOUND",AC49=""),"검색범위 누락",IF(F49="ARM",IF(OR(H49="",H49="NA"),"arm 누락","OK"),IF(F49="COMPARISON",IF(OR(I49="",I49="NA"),"비교쌍 누락",IF(OR(G49="",G49="NA"),"analysis_id 누락","OK")),IF(F49="","","OK")))))</f>
        <v>OK</v>
      </c>
      <c r="AQ49" s="15" t="s">
        <v>350</v>
      </c>
    </row>
    <row r="50" customFormat="false" ht="23.85" hidden="false" customHeight="false" outlineLevel="0" collapsed="false">
      <c r="A50" s="15" t="s">
        <v>351</v>
      </c>
      <c r="B50" s="15" t="s">
        <v>151</v>
      </c>
      <c r="C50" s="15" t="s">
        <v>81</v>
      </c>
      <c r="D50" s="15" t="s">
        <v>196</v>
      </c>
      <c r="E50" s="14" t="str">
        <f aca="false">IFERROR(INDEX(field_dictionary!$B:$B,MATCH($D50,field_dictionary!$A:$A,0)),"")</f>
        <v>DESIGN</v>
      </c>
      <c r="F50" s="14" t="str">
        <f aca="false">IFERROR(INDEX(field_dictionary!$C:$C,MATCH($D50,field_dictionary!$A:$A,0)),"")</f>
        <v>STUDY</v>
      </c>
      <c r="G50" s="15" t="s">
        <v>155</v>
      </c>
      <c r="H50" s="15" t="s">
        <v>155</v>
      </c>
      <c r="I50" s="15" t="s">
        <v>155</v>
      </c>
      <c r="J50" s="15" t="s">
        <v>155</v>
      </c>
      <c r="K50" s="15"/>
      <c r="L50" s="15" t="s">
        <v>171</v>
      </c>
      <c r="M50" s="15" t="s">
        <v>62</v>
      </c>
      <c r="N50" s="15" t="s">
        <v>197</v>
      </c>
      <c r="O50" s="25"/>
      <c r="P50" s="25"/>
      <c r="Q50" s="25"/>
      <c r="R50" s="15"/>
      <c r="S50" s="15"/>
      <c r="T50" s="15"/>
      <c r="U50" s="15"/>
      <c r="V50" s="15" t="s">
        <v>336</v>
      </c>
      <c r="W50" s="15" t="n">
        <v>42</v>
      </c>
      <c r="X50" s="15" t="s">
        <v>337</v>
      </c>
      <c r="Y50" s="15" t="s">
        <v>338</v>
      </c>
      <c r="Z50" s="15" t="s">
        <v>163</v>
      </c>
      <c r="AA50" s="15" t="s">
        <v>352</v>
      </c>
      <c r="AB50" s="15"/>
      <c r="AC50" s="15"/>
      <c r="AD50" s="15" t="s">
        <v>177</v>
      </c>
      <c r="AE50" s="26"/>
      <c r="AF50" s="27"/>
      <c r="AG50" s="27"/>
      <c r="AH50" s="27"/>
      <c r="AI50" s="26"/>
      <c r="AJ50" s="14" t="str">
        <f aca="false">IF(AE50="","",IF(AND(AE50=M50,ABS(N(AF50)-N(O50))&lt;=0.01,ABS(N(AG50)-N(P50))&lt;=0.01,ABS(N(AH50)-N(Q50))&lt;=0.01),"Y","N"))</f>
        <v/>
      </c>
      <c r="AK50" s="15"/>
      <c r="AL50" s="25"/>
      <c r="AM50" s="14" t="str">
        <f aca="false">IF(OR(AL50="",O50=""),"",IF(ABS(N(AL50)-N(O50))&lt;=0.01,"Y","N"))</f>
        <v/>
      </c>
      <c r="AN50" s="15" t="s">
        <v>11</v>
      </c>
      <c r="AO50" s="14" t="str">
        <f aca="false">IFERROR(INDEX(studies!$L:$L,MATCH($C50,studies!$A:$A,0)),"")</f>
        <v>Y</v>
      </c>
      <c r="AP50" s="14" t="str">
        <f aca="false">IF(AND(M50="REPORTED",V50=""),"출처 누락",IF(AND(M50="NOT_FOUND",AC50=""),"검색범위 누락",IF(F50="ARM",IF(OR(H50="",H50="NA"),"arm 누락","OK"),IF(F50="COMPARISON",IF(OR(I50="",I50="NA"),"비교쌍 누락",IF(OR(G50="",G50="NA"),"analysis_id 누락","OK")),IF(F50="","","OK")))))</f>
        <v>OK</v>
      </c>
      <c r="AQ50" s="15"/>
    </row>
    <row r="51" customFormat="false" ht="23.85" hidden="false" customHeight="false" outlineLevel="0" collapsed="false">
      <c r="A51" s="15" t="s">
        <v>353</v>
      </c>
      <c r="B51" s="15" t="s">
        <v>151</v>
      </c>
      <c r="C51" s="15" t="s">
        <v>81</v>
      </c>
      <c r="D51" s="15" t="s">
        <v>200</v>
      </c>
      <c r="E51" s="14" t="str">
        <f aca="false">IFERROR(INDEX(field_dictionary!$B:$B,MATCH($D51,field_dictionary!$A:$A,0)),"")</f>
        <v>DESIGN</v>
      </c>
      <c r="F51" s="14" t="str">
        <f aca="false">IFERROR(INDEX(field_dictionary!$C:$C,MATCH($D51,field_dictionary!$A:$A,0)),"")</f>
        <v>STUDY</v>
      </c>
      <c r="G51" s="15" t="s">
        <v>155</v>
      </c>
      <c r="H51" s="15" t="s">
        <v>155</v>
      </c>
      <c r="I51" s="15" t="s">
        <v>155</v>
      </c>
      <c r="J51" s="15" t="s">
        <v>155</v>
      </c>
      <c r="K51" s="15"/>
      <c r="L51" s="15" t="s">
        <v>171</v>
      </c>
      <c r="M51" s="15" t="s">
        <v>62</v>
      </c>
      <c r="N51" s="15" t="s">
        <v>354</v>
      </c>
      <c r="O51" s="25"/>
      <c r="P51" s="25"/>
      <c r="Q51" s="25"/>
      <c r="R51" s="15"/>
      <c r="S51" s="15"/>
      <c r="T51" s="15"/>
      <c r="U51" s="15"/>
      <c r="V51" s="15" t="s">
        <v>336</v>
      </c>
      <c r="W51" s="15" t="n">
        <v>43</v>
      </c>
      <c r="X51" s="15" t="s">
        <v>355</v>
      </c>
      <c r="Y51" s="15" t="s">
        <v>356</v>
      </c>
      <c r="Z51" s="15" t="s">
        <v>163</v>
      </c>
      <c r="AA51" s="15" t="s">
        <v>357</v>
      </c>
      <c r="AB51" s="15"/>
      <c r="AC51" s="15"/>
      <c r="AD51" s="15" t="s">
        <v>177</v>
      </c>
      <c r="AE51" s="26"/>
      <c r="AF51" s="27"/>
      <c r="AG51" s="27"/>
      <c r="AH51" s="27"/>
      <c r="AI51" s="26"/>
      <c r="AJ51" s="14" t="str">
        <f aca="false">IF(AE51="","",IF(AND(AE51=M51,ABS(N(AF51)-N(O51))&lt;=0.01,ABS(N(AG51)-N(P51))&lt;=0.01,ABS(N(AH51)-N(Q51))&lt;=0.01),"Y","N"))</f>
        <v/>
      </c>
      <c r="AK51" s="15"/>
      <c r="AL51" s="25"/>
      <c r="AM51" s="14" t="str">
        <f aca="false">IF(OR(AL51="",O51=""),"",IF(ABS(N(AL51)-N(O51))&lt;=0.01,"Y","N"))</f>
        <v/>
      </c>
      <c r="AN51" s="15" t="s">
        <v>11</v>
      </c>
      <c r="AO51" s="14" t="str">
        <f aca="false">IFERROR(INDEX(studies!$L:$L,MATCH($C51,studies!$A:$A,0)),"")</f>
        <v>Y</v>
      </c>
      <c r="AP51" s="14" t="str">
        <f aca="false">IF(AND(M51="REPORTED",V51=""),"출처 누락",IF(AND(M51="NOT_FOUND",AC51=""),"검색범위 누락",IF(F51="ARM",IF(OR(H51="",H51="NA"),"arm 누락","OK"),IF(F51="COMPARISON",IF(OR(I51="",I51="NA"),"비교쌍 누락",IF(OR(G51="",G51="NA"),"analysis_id 누락","OK")),IF(F51="","","OK")))))</f>
        <v>OK</v>
      </c>
      <c r="AQ51" s="15"/>
    </row>
    <row r="52" customFormat="false" ht="23.85" hidden="false" customHeight="false" outlineLevel="0" collapsed="false">
      <c r="A52" s="15" t="s">
        <v>358</v>
      </c>
      <c r="B52" s="15" t="s">
        <v>151</v>
      </c>
      <c r="C52" s="15" t="s">
        <v>81</v>
      </c>
      <c r="D52" s="15" t="s">
        <v>205</v>
      </c>
      <c r="E52" s="14" t="str">
        <f aca="false">IFERROR(INDEX(field_dictionary!$B:$B,MATCH($D52,field_dictionary!$A:$A,0)),"")</f>
        <v>DESIGN</v>
      </c>
      <c r="F52" s="14" t="str">
        <f aca="false">IFERROR(INDEX(field_dictionary!$C:$C,MATCH($D52,field_dictionary!$A:$A,0)),"")</f>
        <v>STUDY</v>
      </c>
      <c r="G52" s="15" t="s">
        <v>155</v>
      </c>
      <c r="H52" s="15" t="s">
        <v>155</v>
      </c>
      <c r="I52" s="15" t="s">
        <v>155</v>
      </c>
      <c r="J52" s="15" t="s">
        <v>155</v>
      </c>
      <c r="K52" s="15"/>
      <c r="L52" s="15" t="s">
        <v>171</v>
      </c>
      <c r="M52" s="15" t="s">
        <v>62</v>
      </c>
      <c r="N52" s="15" t="s">
        <v>359</v>
      </c>
      <c r="O52" s="25"/>
      <c r="P52" s="25"/>
      <c r="Q52" s="25"/>
      <c r="R52" s="15" t="s">
        <v>207</v>
      </c>
      <c r="S52" s="15"/>
      <c r="T52" s="15"/>
      <c r="U52" s="15"/>
      <c r="V52" s="15" t="s">
        <v>336</v>
      </c>
      <c r="W52" s="15" t="n">
        <v>44</v>
      </c>
      <c r="X52" s="15" t="s">
        <v>360</v>
      </c>
      <c r="Y52" s="15" t="s">
        <v>361</v>
      </c>
      <c r="Z52" s="15" t="s">
        <v>163</v>
      </c>
      <c r="AA52" s="15" t="s">
        <v>362</v>
      </c>
      <c r="AB52" s="15"/>
      <c r="AC52" s="15"/>
      <c r="AD52" s="15" t="s">
        <v>177</v>
      </c>
      <c r="AE52" s="26"/>
      <c r="AF52" s="27"/>
      <c r="AG52" s="27"/>
      <c r="AH52" s="27"/>
      <c r="AI52" s="26"/>
      <c r="AJ52" s="14" t="str">
        <f aca="false">IF(AE52="","",IF(AND(AE52=M52,ABS(N(AF52)-N(O52))&lt;=0.01,ABS(N(AG52)-N(P52))&lt;=0.01,ABS(N(AH52)-N(Q52))&lt;=0.01),"Y","N"))</f>
        <v/>
      </c>
      <c r="AK52" s="15"/>
      <c r="AL52" s="25"/>
      <c r="AM52" s="14" t="str">
        <f aca="false">IF(OR(AL52="",O52=""),"",IF(ABS(N(AL52)-N(O52))&lt;=0.01,"Y","N"))</f>
        <v/>
      </c>
      <c r="AN52" s="15" t="s">
        <v>11</v>
      </c>
      <c r="AO52" s="14" t="str">
        <f aca="false">IFERROR(INDEX(studies!$L:$L,MATCH($C52,studies!$A:$A,0)),"")</f>
        <v>Y</v>
      </c>
      <c r="AP52" s="14" t="str">
        <f aca="false">IF(AND(M52="REPORTED",V52=""),"출처 누락",IF(AND(M52="NOT_FOUND",AC52=""),"검색범위 누락",IF(F52="ARM",IF(OR(H52="",H52="NA"),"arm 누락","OK"),IF(F52="COMPARISON",IF(OR(I52="",I52="NA"),"비교쌍 누락",IF(OR(G52="",G52="NA"),"analysis_id 누락","OK")),IF(F52="","","OK")))))</f>
        <v>OK</v>
      </c>
      <c r="AQ52" s="15"/>
    </row>
    <row r="53" customFormat="false" ht="46.25" hidden="false" customHeight="false" outlineLevel="0" collapsed="false">
      <c r="A53" s="15" t="s">
        <v>363</v>
      </c>
      <c r="B53" s="15" t="s">
        <v>151</v>
      </c>
      <c r="C53" s="15" t="s">
        <v>81</v>
      </c>
      <c r="D53" s="15" t="s">
        <v>212</v>
      </c>
      <c r="E53" s="14" t="str">
        <f aca="false">IFERROR(INDEX(field_dictionary!$B:$B,MATCH($D53,field_dictionary!$A:$A,0)),"")</f>
        <v>IMMUNO</v>
      </c>
      <c r="F53" s="14" t="str">
        <f aca="false">IFERROR(INDEX(field_dictionary!$C:$C,MATCH($D53,field_dictionary!$A:$A,0)),"")</f>
        <v>STUDY</v>
      </c>
      <c r="G53" s="15" t="s">
        <v>155</v>
      </c>
      <c r="H53" s="15" t="s">
        <v>155</v>
      </c>
      <c r="I53" s="15" t="s">
        <v>155</v>
      </c>
      <c r="J53" s="15" t="s">
        <v>155</v>
      </c>
      <c r="K53" s="15"/>
      <c r="L53" s="15" t="s">
        <v>171</v>
      </c>
      <c r="M53" s="15" t="s">
        <v>62</v>
      </c>
      <c r="N53" s="15" t="s">
        <v>364</v>
      </c>
      <c r="O53" s="25"/>
      <c r="P53" s="25"/>
      <c r="Q53" s="25"/>
      <c r="R53" s="15"/>
      <c r="S53" s="15"/>
      <c r="T53" s="15"/>
      <c r="U53" s="15"/>
      <c r="V53" s="15" t="s">
        <v>336</v>
      </c>
      <c r="W53" s="15" t="n">
        <v>42</v>
      </c>
      <c r="X53" s="15" t="s">
        <v>337</v>
      </c>
      <c r="Y53" s="15" t="s">
        <v>365</v>
      </c>
      <c r="Z53" s="15" t="s">
        <v>163</v>
      </c>
      <c r="AA53" s="15" t="s">
        <v>366</v>
      </c>
      <c r="AB53" s="15" t="s">
        <v>367</v>
      </c>
      <c r="AC53" s="15"/>
      <c r="AD53" s="15" t="s">
        <v>177</v>
      </c>
      <c r="AE53" s="26"/>
      <c r="AF53" s="27"/>
      <c r="AG53" s="27"/>
      <c r="AH53" s="27"/>
      <c r="AI53" s="26"/>
      <c r="AJ53" s="14" t="str">
        <f aca="false">IF(AE53="","",IF(AND(AE53=M53,ABS(N(AF53)-N(O53))&lt;=0.01,ABS(N(AG53)-N(P53))&lt;=0.01,ABS(N(AH53)-N(Q53))&lt;=0.01),"Y","N"))</f>
        <v/>
      </c>
      <c r="AK53" s="15"/>
      <c r="AL53" s="25"/>
      <c r="AM53" s="14" t="str">
        <f aca="false">IF(OR(AL53="",O53=""),"",IF(ABS(N(AL53)-N(O53))&lt;=0.01,"Y","N"))</f>
        <v/>
      </c>
      <c r="AN53" s="15" t="s">
        <v>11</v>
      </c>
      <c r="AO53" s="14" t="str">
        <f aca="false">IFERROR(INDEX(studies!$L:$L,MATCH($C53,studies!$A:$A,0)),"")</f>
        <v>Y</v>
      </c>
      <c r="AP53" s="14" t="str">
        <f aca="false">IF(AND(M53="REPORTED",V53=""),"출처 누락",IF(AND(M53="NOT_FOUND",AC53=""),"검색범위 누락",IF(F53="ARM",IF(OR(H53="",H53="NA"),"arm 누락","OK"),IF(F53="COMPARISON",IF(OR(I53="",I53="NA"),"비교쌍 누락",IF(OR(G53="",G53="NA"),"analysis_id 누락","OK")),IF(F53="","","OK")))))</f>
        <v>OK</v>
      </c>
      <c r="AQ53" s="15"/>
    </row>
    <row r="54" customFormat="false" ht="44" hidden="false" customHeight="false" outlineLevel="0" collapsed="false">
      <c r="A54" s="15" t="s">
        <v>368</v>
      </c>
      <c r="B54" s="15" t="s">
        <v>151</v>
      </c>
      <c r="C54" s="15" t="s">
        <v>81</v>
      </c>
      <c r="D54" s="15" t="s">
        <v>219</v>
      </c>
      <c r="E54" s="14" t="str">
        <f aca="false">IFERROR(INDEX(field_dictionary!$B:$B,MATCH($D54,field_dictionary!$A:$A,0)),"")</f>
        <v>DESIGN</v>
      </c>
      <c r="F54" s="14" t="str">
        <f aca="false">IFERROR(INDEX(field_dictionary!$C:$C,MATCH($D54,field_dictionary!$A:$A,0)),"")</f>
        <v>ARM</v>
      </c>
      <c r="G54" s="15" t="s">
        <v>155</v>
      </c>
      <c r="H54" s="15" t="s">
        <v>220</v>
      </c>
      <c r="I54" s="15" t="s">
        <v>155</v>
      </c>
      <c r="J54" s="15" t="s">
        <v>221</v>
      </c>
      <c r="K54" s="15"/>
      <c r="L54" s="15" t="s">
        <v>171</v>
      </c>
      <c r="M54" s="15" t="s">
        <v>66</v>
      </c>
      <c r="N54" s="15"/>
      <c r="O54" s="25"/>
      <c r="P54" s="25"/>
      <c r="Q54" s="25"/>
      <c r="R54" s="15"/>
      <c r="S54" s="15"/>
      <c r="T54" s="15"/>
      <c r="U54" s="15"/>
      <c r="V54" s="15" t="s">
        <v>336</v>
      </c>
      <c r="W54" s="15"/>
      <c r="X54" s="15"/>
      <c r="Y54" s="15"/>
      <c r="Z54" s="15"/>
      <c r="AA54" s="15"/>
      <c r="AB54" s="15"/>
      <c r="AC54" s="15" t="s">
        <v>369</v>
      </c>
      <c r="AD54" s="15" t="s">
        <v>259</v>
      </c>
      <c r="AE54" s="26"/>
      <c r="AF54" s="27"/>
      <c r="AG54" s="27"/>
      <c r="AH54" s="27"/>
      <c r="AI54" s="26"/>
      <c r="AJ54" s="14" t="str">
        <f aca="false">IF(AE54="","",IF(AND(AE54=M54,ABS(N(AF54)-N(O54))&lt;=0.01,ABS(N(AG54)-N(P54))&lt;=0.01,ABS(N(AH54)-N(Q54))&lt;=0.01),"Y","N"))</f>
        <v/>
      </c>
      <c r="AK54" s="15"/>
      <c r="AL54" s="25"/>
      <c r="AM54" s="14" t="str">
        <f aca="false">IF(OR(AL54="",O54=""),"",IF(ABS(N(AL54)-N(O54))&lt;=0.01,"Y","N"))</f>
        <v/>
      </c>
      <c r="AN54" s="15" t="s">
        <v>11</v>
      </c>
      <c r="AO54" s="14" t="str">
        <f aca="false">IFERROR(INDEX(studies!$L:$L,MATCH($C54,studies!$A:$A,0)),"")</f>
        <v>Y</v>
      </c>
      <c r="AP54" s="14" t="str">
        <f aca="false">IF(AND(M54="REPORTED",V54=""),"출처 누락",IF(AND(M54="NOT_FOUND",AC54=""),"검색범위 누락",IF(F54="ARM",IF(OR(H54="",H54="NA"),"arm 누락","OK"),IF(F54="COMPARISON",IF(OR(I54="",I54="NA"),"비교쌍 누락",IF(OR(G54="",G54="NA"),"analysis_id 누락","OK")),IF(F54="","","OK")))))</f>
        <v>OK</v>
      </c>
      <c r="AQ54" s="13" t="s">
        <v>370</v>
      </c>
    </row>
    <row r="55" customFormat="false" ht="44" hidden="false" customHeight="false" outlineLevel="0" collapsed="false">
      <c r="A55" s="15" t="s">
        <v>371</v>
      </c>
      <c r="B55" s="15" t="s">
        <v>151</v>
      </c>
      <c r="C55" s="15" t="s">
        <v>81</v>
      </c>
      <c r="D55" s="15" t="s">
        <v>219</v>
      </c>
      <c r="E55" s="14" t="str">
        <f aca="false">IFERROR(INDEX(field_dictionary!$B:$B,MATCH($D55,field_dictionary!$A:$A,0)),"")</f>
        <v>DESIGN</v>
      </c>
      <c r="F55" s="14" t="str">
        <f aca="false">IFERROR(INDEX(field_dictionary!$C:$C,MATCH($D55,field_dictionary!$A:$A,0)),"")</f>
        <v>ARM</v>
      </c>
      <c r="G55" s="15" t="s">
        <v>155</v>
      </c>
      <c r="H55" s="15" t="s">
        <v>228</v>
      </c>
      <c r="I55" s="15" t="s">
        <v>155</v>
      </c>
      <c r="J55" s="15" t="s">
        <v>221</v>
      </c>
      <c r="K55" s="15"/>
      <c r="L55" s="15" t="s">
        <v>171</v>
      </c>
      <c r="M55" s="15" t="s">
        <v>66</v>
      </c>
      <c r="N55" s="15"/>
      <c r="O55" s="25"/>
      <c r="P55" s="25"/>
      <c r="Q55" s="25"/>
      <c r="R55" s="15"/>
      <c r="S55" s="15"/>
      <c r="T55" s="15"/>
      <c r="U55" s="15"/>
      <c r="V55" s="15" t="s">
        <v>336</v>
      </c>
      <c r="W55" s="15"/>
      <c r="X55" s="15"/>
      <c r="Y55" s="15"/>
      <c r="Z55" s="15"/>
      <c r="AA55" s="15"/>
      <c r="AB55" s="15"/>
      <c r="AC55" s="15" t="s">
        <v>369</v>
      </c>
      <c r="AD55" s="15" t="s">
        <v>259</v>
      </c>
      <c r="AE55" s="26"/>
      <c r="AF55" s="27"/>
      <c r="AG55" s="27"/>
      <c r="AH55" s="27"/>
      <c r="AI55" s="26"/>
      <c r="AJ55" s="14" t="str">
        <f aca="false">IF(AE55="","",IF(AND(AE55=M55,ABS(N(AF55)-N(O55))&lt;=0.01,ABS(N(AG55)-N(P55))&lt;=0.01,ABS(N(AH55)-N(Q55))&lt;=0.01),"Y","N"))</f>
        <v/>
      </c>
      <c r="AK55" s="15"/>
      <c r="AL55" s="25"/>
      <c r="AM55" s="14" t="str">
        <f aca="false">IF(OR(AL55="",O55=""),"",IF(ABS(N(AL55)-N(O55))&lt;=0.01,"Y","N"))</f>
        <v/>
      </c>
      <c r="AN55" s="15" t="s">
        <v>11</v>
      </c>
      <c r="AO55" s="14" t="str">
        <f aca="false">IFERROR(INDEX(studies!$L:$L,MATCH($C55,studies!$A:$A,0)),"")</f>
        <v>Y</v>
      </c>
      <c r="AP55" s="14" t="str">
        <f aca="false">IF(AND(M55="REPORTED",V55=""),"출처 누락",IF(AND(M55="NOT_FOUND",AC55=""),"검색범위 누락",IF(F55="ARM",IF(OR(H55="",H55="NA"),"arm 누락","OK"),IF(F55="COMPARISON",IF(OR(I55="",I55="NA"),"비교쌍 누락",IF(OR(G55="",G55="NA"),"analysis_id 누락","OK")),IF(F55="","","OK")))))</f>
        <v>OK</v>
      </c>
      <c r="AQ55" s="13" t="s">
        <v>370</v>
      </c>
    </row>
    <row r="56" customFormat="false" ht="44" hidden="false" customHeight="false" outlineLevel="0" collapsed="false">
      <c r="A56" s="15" t="s">
        <v>372</v>
      </c>
      <c r="B56" s="15" t="s">
        <v>151</v>
      </c>
      <c r="C56" s="15" t="s">
        <v>81</v>
      </c>
      <c r="D56" s="15" t="s">
        <v>219</v>
      </c>
      <c r="E56" s="14" t="str">
        <f aca="false">IFERROR(INDEX(field_dictionary!$B:$B,MATCH($D56,field_dictionary!$A:$A,0)),"")</f>
        <v>DESIGN</v>
      </c>
      <c r="F56" s="14" t="str">
        <f aca="false">IFERROR(INDEX(field_dictionary!$C:$C,MATCH($D56,field_dictionary!$A:$A,0)),"")</f>
        <v>ARM</v>
      </c>
      <c r="G56" s="15" t="s">
        <v>155</v>
      </c>
      <c r="H56" s="15" t="s">
        <v>230</v>
      </c>
      <c r="I56" s="15" t="s">
        <v>155</v>
      </c>
      <c r="J56" s="15" t="s">
        <v>221</v>
      </c>
      <c r="K56" s="15"/>
      <c r="L56" s="15" t="s">
        <v>171</v>
      </c>
      <c r="M56" s="15" t="s">
        <v>66</v>
      </c>
      <c r="N56" s="15"/>
      <c r="O56" s="25"/>
      <c r="P56" s="25"/>
      <c r="Q56" s="25"/>
      <c r="R56" s="15"/>
      <c r="S56" s="15"/>
      <c r="T56" s="15"/>
      <c r="U56" s="15"/>
      <c r="V56" s="15" t="s">
        <v>336</v>
      </c>
      <c r="W56" s="15"/>
      <c r="X56" s="15"/>
      <c r="Y56" s="15"/>
      <c r="Z56" s="15"/>
      <c r="AA56" s="15"/>
      <c r="AB56" s="15"/>
      <c r="AC56" s="15" t="s">
        <v>369</v>
      </c>
      <c r="AD56" s="15" t="s">
        <v>259</v>
      </c>
      <c r="AE56" s="26"/>
      <c r="AF56" s="27"/>
      <c r="AG56" s="27"/>
      <c r="AH56" s="27"/>
      <c r="AI56" s="26"/>
      <c r="AJ56" s="14" t="str">
        <f aca="false">IF(AE56="","",IF(AND(AE56=M56,ABS(N(AF56)-N(O56))&lt;=0.01,ABS(N(AG56)-N(P56))&lt;=0.01,ABS(N(AH56)-N(Q56))&lt;=0.01),"Y","N"))</f>
        <v/>
      </c>
      <c r="AK56" s="15"/>
      <c r="AL56" s="25"/>
      <c r="AM56" s="14" t="str">
        <f aca="false">IF(OR(AL56="",O56=""),"",IF(ABS(N(AL56)-N(O56))&lt;=0.01,"Y","N"))</f>
        <v/>
      </c>
      <c r="AN56" s="15" t="s">
        <v>11</v>
      </c>
      <c r="AO56" s="14" t="str">
        <f aca="false">IFERROR(INDEX(studies!$L:$L,MATCH($C56,studies!$A:$A,0)),"")</f>
        <v>Y</v>
      </c>
      <c r="AP56" s="14" t="str">
        <f aca="false">IF(AND(M56="REPORTED",V56=""),"출처 누락",IF(AND(M56="NOT_FOUND",AC56=""),"검색범위 누락",IF(F56="ARM",IF(OR(H56="",H56="NA"),"arm 누락","OK"),IF(F56="COMPARISON",IF(OR(I56="",I56="NA"),"비교쌍 누락",IF(OR(G56="",G56="NA"),"analysis_id 누락","OK")),IF(F56="","","OK")))))</f>
        <v>OK</v>
      </c>
      <c r="AQ56" s="13" t="s">
        <v>370</v>
      </c>
    </row>
    <row r="57" customFormat="false" ht="29.85" hidden="false" customHeight="false" outlineLevel="0" collapsed="false">
      <c r="A57" s="28" t="s">
        <v>373</v>
      </c>
      <c r="B57" s="28" t="s">
        <v>151</v>
      </c>
      <c r="C57" s="28" t="s">
        <v>81</v>
      </c>
      <c r="D57" s="28" t="s">
        <v>219</v>
      </c>
      <c r="E57" s="14" t="str">
        <f aca="false">IFERROR(INDEX(field_dictionary!$B:$B,MATCH($D57,field_dictionary!$A:$A,0)),"")</f>
        <v>DESIGN</v>
      </c>
      <c r="F57" s="14" t="str">
        <f aca="false">IFERROR(INDEX(field_dictionary!$C:$C,MATCH($D57,field_dictionary!$A:$A,0)),"")</f>
        <v>ARM</v>
      </c>
      <c r="G57" s="28" t="s">
        <v>155</v>
      </c>
      <c r="H57" s="28" t="s">
        <v>374</v>
      </c>
      <c r="I57" s="28" t="s">
        <v>155</v>
      </c>
      <c r="J57" s="28" t="s">
        <v>221</v>
      </c>
      <c r="K57" s="28"/>
      <c r="L57" s="28" t="s">
        <v>302</v>
      </c>
      <c r="M57" s="15" t="s">
        <v>62</v>
      </c>
      <c r="N57" s="15" t="s">
        <v>375</v>
      </c>
      <c r="O57" s="25" t="n">
        <v>238</v>
      </c>
      <c r="P57" s="25"/>
      <c r="Q57" s="25"/>
      <c r="R57" s="13" t="s">
        <v>223</v>
      </c>
      <c r="S57" s="15"/>
      <c r="T57" s="15"/>
      <c r="U57" s="15"/>
      <c r="V57" s="15" t="s">
        <v>336</v>
      </c>
      <c r="W57" s="15" t="n">
        <v>41</v>
      </c>
      <c r="X57" s="15" t="s">
        <v>342</v>
      </c>
      <c r="Y57" s="15" t="s">
        <v>343</v>
      </c>
      <c r="Z57" s="15" t="s">
        <v>315</v>
      </c>
      <c r="AA57" s="15"/>
      <c r="AB57" s="15"/>
      <c r="AC57" s="15"/>
      <c r="AD57" s="15" t="s">
        <v>316</v>
      </c>
      <c r="AE57" s="26"/>
      <c r="AF57" s="27"/>
      <c r="AG57" s="27"/>
      <c r="AH57" s="27"/>
      <c r="AI57" s="26"/>
      <c r="AJ57" s="14" t="str">
        <f aca="false">IF(AE57="","",IF(AND(AE57=M57,ABS(N(AF57)-N(O57))&lt;=0.01,ABS(N(AG57)-N(P57))&lt;=0.01,ABS(N(AH57)-N(Q57))&lt;=0.01),"Y","N"))</f>
        <v/>
      </c>
      <c r="AK57" s="15"/>
      <c r="AL57" s="25"/>
      <c r="AM57" s="14" t="str">
        <f aca="false">IF(OR(AL57="",O57=""),"",IF(ABS(N(AL57)-N(O57))&lt;=0.01,"Y","N"))</f>
        <v/>
      </c>
      <c r="AN57" s="15" t="s">
        <v>11</v>
      </c>
      <c r="AO57" s="14" t="str">
        <f aca="false">IFERROR(INDEX(studies!$L:$L,MATCH($C57,studies!$A:$A,0)),"")</f>
        <v>Y</v>
      </c>
      <c r="AP57" s="14" t="str">
        <f aca="false">IF(AND(M57="REPORTED",V57=""),"출처 누락",IF(AND(M57="NOT_FOUND",AC57=""),"검색범위 누락",IF(F57="ARM",IF(OR(H57="",H57="NA"),"arm 누락","OK"),IF(F57="COMPARISON",IF(OR(I57="",I57="NA"),"비교쌍 누락",IF(OR(G57="",G57="NA"),"analysis_id 누락","OK")),IF(F57="","","OK")))))</f>
        <v>OK</v>
      </c>
      <c r="AQ57" s="15"/>
    </row>
    <row r="58" customFormat="false" ht="35.05" hidden="false" customHeight="false" outlineLevel="0" collapsed="false">
      <c r="A58" s="15" t="s">
        <v>376</v>
      </c>
      <c r="B58" s="15" t="s">
        <v>151</v>
      </c>
      <c r="C58" s="15" t="s">
        <v>81</v>
      </c>
      <c r="D58" s="15" t="s">
        <v>232</v>
      </c>
      <c r="E58" s="14" t="str">
        <f aca="false">IFERROR(INDEX(field_dictionary!$B:$B,MATCH($D58,field_dictionary!$A:$A,0)),"")</f>
        <v>DESIGN</v>
      </c>
      <c r="F58" s="14" t="str">
        <f aca="false">IFERROR(INDEX(field_dictionary!$C:$C,MATCH($D58,field_dictionary!$A:$A,0)),"")</f>
        <v>ARM</v>
      </c>
      <c r="G58" s="15" t="s">
        <v>155</v>
      </c>
      <c r="H58" s="15" t="s">
        <v>220</v>
      </c>
      <c r="I58" s="15" t="s">
        <v>155</v>
      </c>
      <c r="J58" s="15" t="s">
        <v>233</v>
      </c>
      <c r="K58" s="15"/>
      <c r="L58" s="15" t="s">
        <v>171</v>
      </c>
      <c r="M58" s="15" t="s">
        <v>62</v>
      </c>
      <c r="N58" s="15" t="s">
        <v>377</v>
      </c>
      <c r="O58" s="25" t="n">
        <v>78</v>
      </c>
      <c r="P58" s="25"/>
      <c r="Q58" s="25"/>
      <c r="R58" s="13" t="s">
        <v>223</v>
      </c>
      <c r="S58" s="15"/>
      <c r="T58" s="15"/>
      <c r="U58" s="15"/>
      <c r="V58" s="15" t="s">
        <v>336</v>
      </c>
      <c r="W58" s="15" t="n">
        <v>43</v>
      </c>
      <c r="X58" s="15" t="s">
        <v>355</v>
      </c>
      <c r="Y58" s="15" t="s">
        <v>378</v>
      </c>
      <c r="Z58" s="15" t="s">
        <v>163</v>
      </c>
      <c r="AA58" s="15" t="s">
        <v>379</v>
      </c>
      <c r="AB58" s="15"/>
      <c r="AC58" s="15"/>
      <c r="AD58" s="15" t="s">
        <v>177</v>
      </c>
      <c r="AE58" s="26"/>
      <c r="AF58" s="27"/>
      <c r="AG58" s="27"/>
      <c r="AH58" s="27"/>
      <c r="AI58" s="26"/>
      <c r="AJ58" s="14" t="str">
        <f aca="false">IF(AE58="","",IF(AND(AE58=M58,ABS(N(AF58)-N(O58))&lt;=0.01,ABS(N(AG58)-N(P58))&lt;=0.01,ABS(N(AH58)-N(Q58))&lt;=0.01),"Y","N"))</f>
        <v/>
      </c>
      <c r="AK58" s="15"/>
      <c r="AL58" s="25"/>
      <c r="AM58" s="14" t="str">
        <f aca="false">IF(OR(AL58="",O58=""),"",IF(ABS(N(AL58)-N(O58))&lt;=0.01,"Y","N"))</f>
        <v/>
      </c>
      <c r="AN58" s="15" t="s">
        <v>11</v>
      </c>
      <c r="AO58" s="14" t="str">
        <f aca="false">IFERROR(INDEX(studies!$L:$L,MATCH($C58,studies!$A:$A,0)),"")</f>
        <v>Y</v>
      </c>
      <c r="AP58" s="14" t="str">
        <f aca="false">IF(AND(M58="REPORTED",V58=""),"출처 누락",IF(AND(M58="NOT_FOUND",AC58=""),"검색범위 누락",IF(F58="ARM",IF(OR(H58="",H58="NA"),"arm 누락","OK"),IF(F58="COMPARISON",IF(OR(I58="",I58="NA"),"비교쌍 누락",IF(OR(G58="",G58="NA"),"analysis_id 누락","OK")),IF(F58="","","OK")))))</f>
        <v>OK</v>
      </c>
      <c r="AQ58" s="15"/>
    </row>
    <row r="59" customFormat="false" ht="35.05" hidden="false" customHeight="false" outlineLevel="0" collapsed="false">
      <c r="A59" s="15" t="s">
        <v>380</v>
      </c>
      <c r="B59" s="15" t="s">
        <v>151</v>
      </c>
      <c r="C59" s="15" t="s">
        <v>81</v>
      </c>
      <c r="D59" s="15" t="s">
        <v>232</v>
      </c>
      <c r="E59" s="14" t="str">
        <f aca="false">IFERROR(INDEX(field_dictionary!$B:$B,MATCH($D59,field_dictionary!$A:$A,0)),"")</f>
        <v>DESIGN</v>
      </c>
      <c r="F59" s="14" t="str">
        <f aca="false">IFERROR(INDEX(field_dictionary!$C:$C,MATCH($D59,field_dictionary!$A:$A,0)),"")</f>
        <v>ARM</v>
      </c>
      <c r="G59" s="15" t="s">
        <v>155</v>
      </c>
      <c r="H59" s="15" t="s">
        <v>228</v>
      </c>
      <c r="I59" s="15" t="s">
        <v>155</v>
      </c>
      <c r="J59" s="15" t="s">
        <v>233</v>
      </c>
      <c r="K59" s="15"/>
      <c r="L59" s="15" t="s">
        <v>171</v>
      </c>
      <c r="M59" s="15" t="s">
        <v>62</v>
      </c>
      <c r="N59" s="15" t="s">
        <v>381</v>
      </c>
      <c r="O59" s="25" t="n">
        <v>80</v>
      </c>
      <c r="P59" s="25"/>
      <c r="Q59" s="25"/>
      <c r="R59" s="13" t="s">
        <v>223</v>
      </c>
      <c r="S59" s="15"/>
      <c r="T59" s="15"/>
      <c r="U59" s="15"/>
      <c r="V59" s="15" t="s">
        <v>336</v>
      </c>
      <c r="W59" s="15" t="n">
        <v>43</v>
      </c>
      <c r="X59" s="15" t="s">
        <v>355</v>
      </c>
      <c r="Y59" s="15" t="s">
        <v>378</v>
      </c>
      <c r="Z59" s="15" t="s">
        <v>163</v>
      </c>
      <c r="AA59" s="15" t="s">
        <v>379</v>
      </c>
      <c r="AB59" s="15"/>
      <c r="AC59" s="15"/>
      <c r="AD59" s="15" t="s">
        <v>177</v>
      </c>
      <c r="AE59" s="26"/>
      <c r="AF59" s="27"/>
      <c r="AG59" s="27"/>
      <c r="AH59" s="27"/>
      <c r="AI59" s="26"/>
      <c r="AJ59" s="14" t="str">
        <f aca="false">IF(AE59="","",IF(AND(AE59=M59,ABS(N(AF59)-N(O59))&lt;=0.01,ABS(N(AG59)-N(P59))&lt;=0.01,ABS(N(AH59)-N(Q59))&lt;=0.01),"Y","N"))</f>
        <v/>
      </c>
      <c r="AK59" s="15"/>
      <c r="AL59" s="25"/>
      <c r="AM59" s="14" t="str">
        <f aca="false">IF(OR(AL59="",O59=""),"",IF(ABS(N(AL59)-N(O59))&lt;=0.01,"Y","N"))</f>
        <v/>
      </c>
      <c r="AN59" s="15" t="s">
        <v>11</v>
      </c>
      <c r="AO59" s="14" t="str">
        <f aca="false">IFERROR(INDEX(studies!$L:$L,MATCH($C59,studies!$A:$A,0)),"")</f>
        <v>Y</v>
      </c>
      <c r="AP59" s="14" t="str">
        <f aca="false">IF(AND(M59="REPORTED",V59=""),"출처 누락",IF(AND(M59="NOT_FOUND",AC59=""),"검색범위 누락",IF(F59="ARM",IF(OR(H59="",H59="NA"),"arm 누락","OK"),IF(F59="COMPARISON",IF(OR(I59="",I59="NA"),"비교쌍 누락",IF(OR(G59="",G59="NA"),"analysis_id 누락","OK")),IF(F59="","","OK")))))</f>
        <v>OK</v>
      </c>
      <c r="AQ59" s="15"/>
    </row>
    <row r="60" customFormat="false" ht="35.05" hidden="false" customHeight="false" outlineLevel="0" collapsed="false">
      <c r="A60" s="15" t="s">
        <v>382</v>
      </c>
      <c r="B60" s="15" t="s">
        <v>151</v>
      </c>
      <c r="C60" s="15" t="s">
        <v>81</v>
      </c>
      <c r="D60" s="15" t="s">
        <v>232</v>
      </c>
      <c r="E60" s="14" t="str">
        <f aca="false">IFERROR(INDEX(field_dictionary!$B:$B,MATCH($D60,field_dictionary!$A:$A,0)),"")</f>
        <v>DESIGN</v>
      </c>
      <c r="F60" s="14" t="str">
        <f aca="false">IFERROR(INDEX(field_dictionary!$C:$C,MATCH($D60,field_dictionary!$A:$A,0)),"")</f>
        <v>ARM</v>
      </c>
      <c r="G60" s="15" t="s">
        <v>155</v>
      </c>
      <c r="H60" s="15" t="s">
        <v>230</v>
      </c>
      <c r="I60" s="15" t="s">
        <v>155</v>
      </c>
      <c r="J60" s="15" t="s">
        <v>233</v>
      </c>
      <c r="K60" s="15"/>
      <c r="L60" s="15" t="s">
        <v>171</v>
      </c>
      <c r="M60" s="15" t="s">
        <v>62</v>
      </c>
      <c r="N60" s="15" t="s">
        <v>383</v>
      </c>
      <c r="O60" s="25" t="n">
        <v>79</v>
      </c>
      <c r="P60" s="25"/>
      <c r="Q60" s="25"/>
      <c r="R60" s="13" t="s">
        <v>223</v>
      </c>
      <c r="S60" s="15"/>
      <c r="T60" s="15"/>
      <c r="U60" s="15"/>
      <c r="V60" s="15" t="s">
        <v>336</v>
      </c>
      <c r="W60" s="15" t="n">
        <v>43</v>
      </c>
      <c r="X60" s="15" t="s">
        <v>355</v>
      </c>
      <c r="Y60" s="15" t="s">
        <v>378</v>
      </c>
      <c r="Z60" s="15" t="s">
        <v>163</v>
      </c>
      <c r="AA60" s="15" t="s">
        <v>379</v>
      </c>
      <c r="AB60" s="15"/>
      <c r="AC60" s="15"/>
      <c r="AD60" s="15" t="s">
        <v>177</v>
      </c>
      <c r="AE60" s="26"/>
      <c r="AF60" s="27"/>
      <c r="AG60" s="27"/>
      <c r="AH60" s="27"/>
      <c r="AI60" s="26"/>
      <c r="AJ60" s="14" t="str">
        <f aca="false">IF(AE60="","",IF(AND(AE60=M60,ABS(N(AF60)-N(O60))&lt;=0.01,ABS(N(AG60)-N(P60))&lt;=0.01,ABS(N(AH60)-N(Q60))&lt;=0.01),"Y","N"))</f>
        <v/>
      </c>
      <c r="AK60" s="15"/>
      <c r="AL60" s="25"/>
      <c r="AM60" s="14" t="str">
        <f aca="false">IF(OR(AL60="",O60=""),"",IF(ABS(N(AL60)-N(O60))&lt;=0.01,"Y","N"))</f>
        <v/>
      </c>
      <c r="AN60" s="15" t="s">
        <v>11</v>
      </c>
      <c r="AO60" s="14" t="str">
        <f aca="false">IFERROR(INDEX(studies!$L:$L,MATCH($C60,studies!$A:$A,0)),"")</f>
        <v>Y</v>
      </c>
      <c r="AP60" s="14" t="str">
        <f aca="false">IF(AND(M60="REPORTED",V60=""),"출처 누락",IF(AND(M60="NOT_FOUND",AC60=""),"검색범위 누락",IF(F60="ARM",IF(OR(H60="",H60="NA"),"arm 누락","OK"),IF(F60="COMPARISON",IF(OR(I60="",I60="NA"),"비교쌍 누락",IF(OR(G60="",G60="NA"),"analysis_id 누락","OK")),IF(F60="","","OK")))))</f>
        <v>OK</v>
      </c>
      <c r="AQ60" s="15"/>
    </row>
    <row r="61" customFormat="false" ht="35.05" hidden="false" customHeight="false" outlineLevel="0" collapsed="false">
      <c r="A61" s="15" t="s">
        <v>384</v>
      </c>
      <c r="B61" s="15" t="s">
        <v>151</v>
      </c>
      <c r="C61" s="15" t="s">
        <v>81</v>
      </c>
      <c r="D61" s="15" t="s">
        <v>240</v>
      </c>
      <c r="E61" s="14" t="str">
        <f aca="false">IFERROR(INDEX(field_dictionary!$B:$B,MATCH($D61,field_dictionary!$A:$A,0)),"")</f>
        <v>IMMUNO</v>
      </c>
      <c r="F61" s="14" t="str">
        <f aca="false">IFERROR(INDEX(field_dictionary!$C:$C,MATCH($D61,field_dictionary!$A:$A,0)),"")</f>
        <v>ARM</v>
      </c>
      <c r="G61" s="15" t="s">
        <v>385</v>
      </c>
      <c r="H61" s="15" t="s">
        <v>220</v>
      </c>
      <c r="I61" s="15" t="s">
        <v>155</v>
      </c>
      <c r="J61" s="15" t="s">
        <v>242</v>
      </c>
      <c r="K61" s="15" t="s">
        <v>386</v>
      </c>
      <c r="L61" s="15" t="s">
        <v>171</v>
      </c>
      <c r="M61" s="15" t="s">
        <v>62</v>
      </c>
      <c r="N61" s="15" t="s">
        <v>387</v>
      </c>
      <c r="O61" s="25" t="n">
        <v>15.4</v>
      </c>
      <c r="P61" s="25"/>
      <c r="Q61" s="25"/>
      <c r="R61" s="15" t="s">
        <v>160</v>
      </c>
      <c r="S61" s="15"/>
      <c r="T61" s="15"/>
      <c r="U61" s="15" t="s">
        <v>388</v>
      </c>
      <c r="V61" s="15" t="s">
        <v>336</v>
      </c>
      <c r="W61" s="15" t="n">
        <v>94</v>
      </c>
      <c r="X61" s="15" t="s">
        <v>389</v>
      </c>
      <c r="Y61" s="15" t="s">
        <v>390</v>
      </c>
      <c r="Z61" s="15" t="s">
        <v>315</v>
      </c>
      <c r="AA61" s="15"/>
      <c r="AB61" s="15"/>
      <c r="AC61" s="15"/>
      <c r="AD61" s="15" t="s">
        <v>316</v>
      </c>
      <c r="AE61" s="26"/>
      <c r="AF61" s="27"/>
      <c r="AG61" s="27"/>
      <c r="AH61" s="27"/>
      <c r="AI61" s="26"/>
      <c r="AJ61" s="14" t="str">
        <f aca="false">IF(AE61="","",IF(AND(AE61=M61,ABS(N(AF61)-N(O61))&lt;=0.01,ABS(N(AG61)-N(P61))&lt;=0.01,ABS(N(AH61)-N(Q61))&lt;=0.01),"Y","N"))</f>
        <v/>
      </c>
      <c r="AK61" s="15"/>
      <c r="AL61" s="25"/>
      <c r="AM61" s="14" t="str">
        <f aca="false">IF(OR(AL61="",O61=""),"",IF(ABS(N(AL61)-N(O61))&lt;=0.01,"Y","N"))</f>
        <v/>
      </c>
      <c r="AN61" s="15" t="s">
        <v>11</v>
      </c>
      <c r="AO61" s="14" t="str">
        <f aca="false">IFERROR(INDEX(studies!$L:$L,MATCH($C61,studies!$A:$A,0)),"")</f>
        <v>Y</v>
      </c>
      <c r="AP61" s="14" t="str">
        <f aca="false">IF(AND(M61="REPORTED",V61=""),"출처 누락",IF(AND(M61="NOT_FOUND",AC61=""),"검색범위 누락",IF(F61="ARM",IF(OR(H61="",H61="NA"),"arm 누락","OK"),IF(F61="COMPARISON",IF(OR(I61="",I61="NA"),"비교쌍 누락",IF(OR(G61="",G61="NA"),"analysis_id 누락","OK")),IF(F61="","","OK")))))</f>
        <v>OK</v>
      </c>
      <c r="AQ61" s="13" t="s">
        <v>391</v>
      </c>
    </row>
    <row r="62" customFormat="false" ht="35.05" hidden="false" customHeight="false" outlineLevel="0" collapsed="false">
      <c r="A62" s="15" t="s">
        <v>392</v>
      </c>
      <c r="B62" s="15" t="s">
        <v>151</v>
      </c>
      <c r="C62" s="15" t="s">
        <v>81</v>
      </c>
      <c r="D62" s="15" t="s">
        <v>240</v>
      </c>
      <c r="E62" s="14" t="str">
        <f aca="false">IFERROR(INDEX(field_dictionary!$B:$B,MATCH($D62,field_dictionary!$A:$A,0)),"")</f>
        <v>IMMUNO</v>
      </c>
      <c r="F62" s="14" t="str">
        <f aca="false">IFERROR(INDEX(field_dictionary!$C:$C,MATCH($D62,field_dictionary!$A:$A,0)),"")</f>
        <v>ARM</v>
      </c>
      <c r="G62" s="15" t="s">
        <v>385</v>
      </c>
      <c r="H62" s="15" t="s">
        <v>228</v>
      </c>
      <c r="I62" s="15" t="s">
        <v>155</v>
      </c>
      <c r="J62" s="15" t="s">
        <v>242</v>
      </c>
      <c r="K62" s="15" t="s">
        <v>386</v>
      </c>
      <c r="L62" s="15" t="s">
        <v>171</v>
      </c>
      <c r="M62" s="15" t="s">
        <v>62</v>
      </c>
      <c r="N62" s="15" t="s">
        <v>393</v>
      </c>
      <c r="O62" s="25" t="n">
        <v>36.3</v>
      </c>
      <c r="P62" s="25"/>
      <c r="Q62" s="25"/>
      <c r="R62" s="15" t="s">
        <v>160</v>
      </c>
      <c r="S62" s="15"/>
      <c r="T62" s="15"/>
      <c r="U62" s="15" t="s">
        <v>394</v>
      </c>
      <c r="V62" s="15" t="s">
        <v>336</v>
      </c>
      <c r="W62" s="15" t="n">
        <v>94</v>
      </c>
      <c r="X62" s="15" t="s">
        <v>389</v>
      </c>
      <c r="Y62" s="15" t="s">
        <v>390</v>
      </c>
      <c r="Z62" s="15" t="s">
        <v>315</v>
      </c>
      <c r="AA62" s="15"/>
      <c r="AB62" s="15"/>
      <c r="AC62" s="15"/>
      <c r="AD62" s="15" t="s">
        <v>316</v>
      </c>
      <c r="AE62" s="26"/>
      <c r="AF62" s="27"/>
      <c r="AG62" s="27"/>
      <c r="AH62" s="27"/>
      <c r="AI62" s="26"/>
      <c r="AJ62" s="14" t="str">
        <f aca="false">IF(AE62="","",IF(AND(AE62=M62,ABS(N(AF62)-N(O62))&lt;=0.01,ABS(N(AG62)-N(P62))&lt;=0.01,ABS(N(AH62)-N(Q62))&lt;=0.01),"Y","N"))</f>
        <v/>
      </c>
      <c r="AK62" s="15"/>
      <c r="AL62" s="25"/>
      <c r="AM62" s="14" t="str">
        <f aca="false">IF(OR(AL62="",O62=""),"",IF(ABS(N(AL62)-N(O62))&lt;=0.01,"Y","N"))</f>
        <v/>
      </c>
      <c r="AN62" s="15" t="s">
        <v>11</v>
      </c>
      <c r="AO62" s="14" t="str">
        <f aca="false">IFERROR(INDEX(studies!$L:$L,MATCH($C62,studies!$A:$A,0)),"")</f>
        <v>Y</v>
      </c>
      <c r="AP62" s="14" t="str">
        <f aca="false">IF(AND(M62="REPORTED",V62=""),"출처 누락",IF(AND(M62="NOT_FOUND",AC62=""),"검색범위 누락",IF(F62="ARM",IF(OR(H62="",H62="NA"),"arm 누락","OK"),IF(F62="COMPARISON",IF(OR(I62="",I62="NA"),"비교쌍 누락",IF(OR(G62="",G62="NA"),"analysis_id 누락","OK")),IF(F62="","","OK")))))</f>
        <v>OK</v>
      </c>
      <c r="AQ62" s="13" t="s">
        <v>391</v>
      </c>
    </row>
    <row r="63" customFormat="false" ht="35.05" hidden="false" customHeight="false" outlineLevel="0" collapsed="false">
      <c r="A63" s="15" t="s">
        <v>395</v>
      </c>
      <c r="B63" s="15" t="s">
        <v>151</v>
      </c>
      <c r="C63" s="15" t="s">
        <v>81</v>
      </c>
      <c r="D63" s="15" t="s">
        <v>240</v>
      </c>
      <c r="E63" s="14" t="str">
        <f aca="false">IFERROR(INDEX(field_dictionary!$B:$B,MATCH($D63,field_dictionary!$A:$A,0)),"")</f>
        <v>IMMUNO</v>
      </c>
      <c r="F63" s="14" t="str">
        <f aca="false">IFERROR(INDEX(field_dictionary!$C:$C,MATCH($D63,field_dictionary!$A:$A,0)),"")</f>
        <v>ARM</v>
      </c>
      <c r="G63" s="15" t="s">
        <v>385</v>
      </c>
      <c r="H63" s="15" t="s">
        <v>230</v>
      </c>
      <c r="I63" s="15" t="s">
        <v>155</v>
      </c>
      <c r="J63" s="15" t="s">
        <v>242</v>
      </c>
      <c r="K63" s="15" t="s">
        <v>386</v>
      </c>
      <c r="L63" s="15" t="s">
        <v>171</v>
      </c>
      <c r="M63" s="15" t="s">
        <v>62</v>
      </c>
      <c r="N63" s="15" t="s">
        <v>396</v>
      </c>
      <c r="O63" s="25" t="n">
        <v>38</v>
      </c>
      <c r="P63" s="25"/>
      <c r="Q63" s="25"/>
      <c r="R63" s="15" t="s">
        <v>160</v>
      </c>
      <c r="S63" s="15"/>
      <c r="T63" s="15"/>
      <c r="U63" s="15" t="s">
        <v>397</v>
      </c>
      <c r="V63" s="15" t="s">
        <v>336</v>
      </c>
      <c r="W63" s="15" t="n">
        <v>94</v>
      </c>
      <c r="X63" s="15" t="s">
        <v>389</v>
      </c>
      <c r="Y63" s="15" t="s">
        <v>390</v>
      </c>
      <c r="Z63" s="15" t="s">
        <v>315</v>
      </c>
      <c r="AA63" s="15"/>
      <c r="AB63" s="15"/>
      <c r="AC63" s="15"/>
      <c r="AD63" s="15" t="s">
        <v>316</v>
      </c>
      <c r="AE63" s="26"/>
      <c r="AF63" s="27"/>
      <c r="AG63" s="27"/>
      <c r="AH63" s="27"/>
      <c r="AI63" s="26"/>
      <c r="AJ63" s="14" t="str">
        <f aca="false">IF(AE63="","",IF(AND(AE63=M63,ABS(N(AF63)-N(O63))&lt;=0.01,ABS(N(AG63)-N(P63))&lt;=0.01,ABS(N(AH63)-N(Q63))&lt;=0.01),"Y","N"))</f>
        <v/>
      </c>
      <c r="AK63" s="15"/>
      <c r="AL63" s="25"/>
      <c r="AM63" s="14" t="str">
        <f aca="false">IF(OR(AL63="",O63=""),"",IF(ABS(N(AL63)-N(O63))&lt;=0.01,"Y","N"))</f>
        <v/>
      </c>
      <c r="AN63" s="15" t="s">
        <v>11</v>
      </c>
      <c r="AO63" s="14" t="str">
        <f aca="false">IFERROR(INDEX(studies!$L:$L,MATCH($C63,studies!$A:$A,0)),"")</f>
        <v>Y</v>
      </c>
      <c r="AP63" s="14" t="str">
        <f aca="false">IF(AND(M63="REPORTED",V63=""),"출처 누락",IF(AND(M63="NOT_FOUND",AC63=""),"검색범위 누락",IF(F63="ARM",IF(OR(H63="",H63="NA"),"arm 누락","OK"),IF(F63="COMPARISON",IF(OR(I63="",I63="NA"),"비교쌍 누락",IF(OR(G63="",G63="NA"),"analysis_id 누락","OK")),IF(F63="","","OK")))))</f>
        <v>OK</v>
      </c>
      <c r="AQ63" s="13" t="s">
        <v>391</v>
      </c>
    </row>
    <row r="64" customFormat="false" ht="35.05" hidden="false" customHeight="false" outlineLevel="0" collapsed="false">
      <c r="A64" s="28" t="s">
        <v>398</v>
      </c>
      <c r="B64" s="28" t="s">
        <v>151</v>
      </c>
      <c r="C64" s="28" t="s">
        <v>81</v>
      </c>
      <c r="D64" s="28" t="s">
        <v>240</v>
      </c>
      <c r="E64" s="14" t="str">
        <f aca="false">IFERROR(INDEX(field_dictionary!$B:$B,MATCH($D64,field_dictionary!$A:$A,0)),"")</f>
        <v>IMMUNO</v>
      </c>
      <c r="F64" s="14" t="str">
        <f aca="false">IFERROR(INDEX(field_dictionary!$C:$C,MATCH($D64,field_dictionary!$A:$A,0)),"")</f>
        <v>ARM</v>
      </c>
      <c r="G64" s="28" t="s">
        <v>399</v>
      </c>
      <c r="H64" s="28" t="s">
        <v>220</v>
      </c>
      <c r="I64" s="28" t="s">
        <v>155</v>
      </c>
      <c r="J64" s="28" t="s">
        <v>242</v>
      </c>
      <c r="K64" s="28" t="s">
        <v>400</v>
      </c>
      <c r="L64" s="28" t="s">
        <v>302</v>
      </c>
      <c r="M64" s="15" t="s">
        <v>62</v>
      </c>
      <c r="N64" s="15" t="s">
        <v>401</v>
      </c>
      <c r="O64" s="25" t="n">
        <v>16.7</v>
      </c>
      <c r="P64" s="25"/>
      <c r="Q64" s="25"/>
      <c r="R64" s="15" t="s">
        <v>160</v>
      </c>
      <c r="S64" s="15"/>
      <c r="T64" s="15"/>
      <c r="U64" s="15" t="s">
        <v>402</v>
      </c>
      <c r="V64" s="15" t="s">
        <v>336</v>
      </c>
      <c r="W64" s="15" t="n">
        <v>94</v>
      </c>
      <c r="X64" s="15" t="s">
        <v>389</v>
      </c>
      <c r="Y64" s="15" t="s">
        <v>403</v>
      </c>
      <c r="Z64" s="15" t="s">
        <v>315</v>
      </c>
      <c r="AA64" s="15"/>
      <c r="AB64" s="15"/>
      <c r="AC64" s="15"/>
      <c r="AD64" s="15" t="s">
        <v>316</v>
      </c>
      <c r="AE64" s="26"/>
      <c r="AF64" s="27"/>
      <c r="AG64" s="27"/>
      <c r="AH64" s="27"/>
      <c r="AI64" s="26"/>
      <c r="AJ64" s="14" t="str">
        <f aca="false">IF(AE64="","",IF(AND(AE64=M64,ABS(N(AF64)-N(O64))&lt;=0.01,ABS(N(AG64)-N(P64))&lt;=0.01,ABS(N(AH64)-N(Q64))&lt;=0.01),"Y","N"))</f>
        <v/>
      </c>
      <c r="AK64" s="15"/>
      <c r="AL64" s="25"/>
      <c r="AM64" s="14" t="str">
        <f aca="false">IF(OR(AL64="",O64=""),"",IF(ABS(N(AL64)-N(O64))&lt;=0.01,"Y","N"))</f>
        <v/>
      </c>
      <c r="AN64" s="15" t="s">
        <v>11</v>
      </c>
      <c r="AO64" s="14" t="str">
        <f aca="false">IFERROR(INDEX(studies!$L:$L,MATCH($C64,studies!$A:$A,0)),"")</f>
        <v>Y</v>
      </c>
      <c r="AP64" s="14" t="str">
        <f aca="false">IF(AND(M64="REPORTED",V64=""),"출처 누락",IF(AND(M64="NOT_FOUND",AC64=""),"검색범위 누락",IF(F64="ARM",IF(OR(H64="",H64="NA"),"arm 누락","OK"),IF(F64="COMPARISON",IF(OR(I64="",I64="NA"),"비교쌍 누락",IF(OR(G64="",G64="NA"),"analysis_id 누락","OK")),IF(F64="","","OK")))))</f>
        <v>OK</v>
      </c>
      <c r="AQ64" s="13" t="s">
        <v>404</v>
      </c>
    </row>
    <row r="65" customFormat="false" ht="35.05" hidden="false" customHeight="false" outlineLevel="0" collapsed="false">
      <c r="A65" s="28" t="s">
        <v>405</v>
      </c>
      <c r="B65" s="28" t="s">
        <v>151</v>
      </c>
      <c r="C65" s="28" t="s">
        <v>81</v>
      </c>
      <c r="D65" s="28" t="s">
        <v>240</v>
      </c>
      <c r="E65" s="14" t="str">
        <f aca="false">IFERROR(INDEX(field_dictionary!$B:$B,MATCH($D65,field_dictionary!$A:$A,0)),"")</f>
        <v>IMMUNO</v>
      </c>
      <c r="F65" s="14" t="str">
        <f aca="false">IFERROR(INDEX(field_dictionary!$C:$C,MATCH($D65,field_dictionary!$A:$A,0)),"")</f>
        <v>ARM</v>
      </c>
      <c r="G65" s="28" t="s">
        <v>399</v>
      </c>
      <c r="H65" s="28" t="s">
        <v>228</v>
      </c>
      <c r="I65" s="28" t="s">
        <v>155</v>
      </c>
      <c r="J65" s="28" t="s">
        <v>242</v>
      </c>
      <c r="K65" s="28" t="s">
        <v>400</v>
      </c>
      <c r="L65" s="28" t="s">
        <v>302</v>
      </c>
      <c r="M65" s="15" t="s">
        <v>62</v>
      </c>
      <c r="N65" s="15" t="s">
        <v>406</v>
      </c>
      <c r="O65" s="25" t="n">
        <v>37.5</v>
      </c>
      <c r="P65" s="25"/>
      <c r="Q65" s="25"/>
      <c r="R65" s="15" t="s">
        <v>160</v>
      </c>
      <c r="S65" s="15"/>
      <c r="T65" s="15"/>
      <c r="U65" s="15" t="s">
        <v>402</v>
      </c>
      <c r="V65" s="15" t="s">
        <v>336</v>
      </c>
      <c r="W65" s="15" t="n">
        <v>94</v>
      </c>
      <c r="X65" s="15" t="s">
        <v>389</v>
      </c>
      <c r="Y65" s="15" t="s">
        <v>403</v>
      </c>
      <c r="Z65" s="15" t="s">
        <v>315</v>
      </c>
      <c r="AA65" s="15"/>
      <c r="AB65" s="15"/>
      <c r="AC65" s="15"/>
      <c r="AD65" s="15" t="s">
        <v>316</v>
      </c>
      <c r="AE65" s="26"/>
      <c r="AF65" s="27"/>
      <c r="AG65" s="27"/>
      <c r="AH65" s="27"/>
      <c r="AI65" s="26"/>
      <c r="AJ65" s="14" t="str">
        <f aca="false">IF(AE65="","",IF(AND(AE65=M65,ABS(N(AF65)-N(O65))&lt;=0.01,ABS(N(AG65)-N(P65))&lt;=0.01,ABS(N(AH65)-N(Q65))&lt;=0.01),"Y","N"))</f>
        <v/>
      </c>
      <c r="AK65" s="15"/>
      <c r="AL65" s="25"/>
      <c r="AM65" s="14" t="str">
        <f aca="false">IF(OR(AL65="",O65=""),"",IF(ABS(N(AL65)-N(O65))&lt;=0.01,"Y","N"))</f>
        <v/>
      </c>
      <c r="AN65" s="15" t="s">
        <v>11</v>
      </c>
      <c r="AO65" s="14" t="str">
        <f aca="false">IFERROR(INDEX(studies!$L:$L,MATCH($C65,studies!$A:$A,0)),"")</f>
        <v>Y</v>
      </c>
      <c r="AP65" s="14" t="str">
        <f aca="false">IF(AND(M65="REPORTED",V65=""),"출처 누락",IF(AND(M65="NOT_FOUND",AC65=""),"검색범위 누락",IF(F65="ARM",IF(OR(H65="",H65="NA"),"arm 누락","OK"),IF(F65="COMPARISON",IF(OR(I65="",I65="NA"),"비교쌍 누락",IF(OR(G65="",G65="NA"),"analysis_id 누락","OK")),IF(F65="","","OK")))))</f>
        <v>OK</v>
      </c>
      <c r="AQ65" s="13" t="s">
        <v>404</v>
      </c>
    </row>
    <row r="66" customFormat="false" ht="35.05" hidden="false" customHeight="false" outlineLevel="0" collapsed="false">
      <c r="A66" s="28" t="s">
        <v>407</v>
      </c>
      <c r="B66" s="28" t="s">
        <v>151</v>
      </c>
      <c r="C66" s="28" t="s">
        <v>81</v>
      </c>
      <c r="D66" s="28" t="s">
        <v>240</v>
      </c>
      <c r="E66" s="14" t="str">
        <f aca="false">IFERROR(INDEX(field_dictionary!$B:$B,MATCH($D66,field_dictionary!$A:$A,0)),"")</f>
        <v>IMMUNO</v>
      </c>
      <c r="F66" s="14" t="str">
        <f aca="false">IFERROR(INDEX(field_dictionary!$C:$C,MATCH($D66,field_dictionary!$A:$A,0)),"")</f>
        <v>ARM</v>
      </c>
      <c r="G66" s="28" t="s">
        <v>399</v>
      </c>
      <c r="H66" s="28" t="s">
        <v>230</v>
      </c>
      <c r="I66" s="28" t="s">
        <v>155</v>
      </c>
      <c r="J66" s="28" t="s">
        <v>242</v>
      </c>
      <c r="K66" s="28" t="s">
        <v>400</v>
      </c>
      <c r="L66" s="28" t="s">
        <v>302</v>
      </c>
      <c r="M66" s="15" t="s">
        <v>62</v>
      </c>
      <c r="N66" s="15" t="s">
        <v>396</v>
      </c>
      <c r="O66" s="25" t="n">
        <v>38</v>
      </c>
      <c r="P66" s="25"/>
      <c r="Q66" s="25"/>
      <c r="R66" s="15" t="s">
        <v>160</v>
      </c>
      <c r="S66" s="15"/>
      <c r="T66" s="15"/>
      <c r="U66" s="15" t="s">
        <v>402</v>
      </c>
      <c r="V66" s="15" t="s">
        <v>336</v>
      </c>
      <c r="W66" s="15" t="n">
        <v>94</v>
      </c>
      <c r="X66" s="15" t="s">
        <v>389</v>
      </c>
      <c r="Y66" s="15" t="s">
        <v>403</v>
      </c>
      <c r="Z66" s="15" t="s">
        <v>315</v>
      </c>
      <c r="AA66" s="15"/>
      <c r="AB66" s="15"/>
      <c r="AC66" s="15"/>
      <c r="AD66" s="15" t="s">
        <v>316</v>
      </c>
      <c r="AE66" s="26"/>
      <c r="AF66" s="27"/>
      <c r="AG66" s="27"/>
      <c r="AH66" s="27"/>
      <c r="AI66" s="26"/>
      <c r="AJ66" s="14" t="str">
        <f aca="false">IF(AE66="","",IF(AND(AE66=M66,ABS(N(AF66)-N(O66))&lt;=0.01,ABS(N(AG66)-N(P66))&lt;=0.01,ABS(N(AH66)-N(Q66))&lt;=0.01),"Y","N"))</f>
        <v/>
      </c>
      <c r="AK66" s="15"/>
      <c r="AL66" s="25"/>
      <c r="AM66" s="14" t="str">
        <f aca="false">IF(OR(AL66="",O66=""),"",IF(ABS(N(AL66)-N(O66))&lt;=0.01,"Y","N"))</f>
        <v/>
      </c>
      <c r="AN66" s="15" t="s">
        <v>11</v>
      </c>
      <c r="AO66" s="14" t="str">
        <f aca="false">IFERROR(INDEX(studies!$L:$L,MATCH($C66,studies!$A:$A,0)),"")</f>
        <v>Y</v>
      </c>
      <c r="AP66" s="14" t="str">
        <f aca="false">IF(AND(M66="REPORTED",V66=""),"출처 누락",IF(AND(M66="NOT_FOUND",AC66=""),"검색범위 누락",IF(F66="ARM",IF(OR(H66="",H66="NA"),"arm 누락","OK"),IF(F66="COMPARISON",IF(OR(I66="",I66="NA"),"비교쌍 누락",IF(OR(G66="",G66="NA"),"analysis_id 누락","OK")),IF(F66="","","OK")))))</f>
        <v>OK</v>
      </c>
      <c r="AQ66" s="13" t="s">
        <v>404</v>
      </c>
    </row>
    <row r="67" customFormat="false" ht="46.25" hidden="false" customHeight="false" outlineLevel="0" collapsed="false">
      <c r="A67" s="15" t="s">
        <v>408</v>
      </c>
      <c r="B67" s="15" t="s">
        <v>151</v>
      </c>
      <c r="C67" s="15" t="s">
        <v>81</v>
      </c>
      <c r="D67" s="15" t="s">
        <v>255</v>
      </c>
      <c r="E67" s="14" t="str">
        <f aca="false">IFERROR(INDEX(field_dictionary!$B:$B,MATCH($D67,field_dictionary!$A:$A,0)),"")</f>
        <v>IMMUNO</v>
      </c>
      <c r="F67" s="14" t="str">
        <f aca="false">IFERROR(INDEX(field_dictionary!$C:$C,MATCH($D67,field_dictionary!$A:$A,0)),"")</f>
        <v>ARM</v>
      </c>
      <c r="G67" s="15" t="s">
        <v>409</v>
      </c>
      <c r="H67" s="15" t="s">
        <v>220</v>
      </c>
      <c r="I67" s="15" t="s">
        <v>155</v>
      </c>
      <c r="J67" s="15" t="s">
        <v>242</v>
      </c>
      <c r="K67" s="15" t="s">
        <v>386</v>
      </c>
      <c r="L67" s="15" t="s">
        <v>171</v>
      </c>
      <c r="M67" s="15" t="s">
        <v>62</v>
      </c>
      <c r="N67" s="15" t="s">
        <v>410</v>
      </c>
      <c r="O67" s="25" t="n">
        <v>2.6</v>
      </c>
      <c r="P67" s="25"/>
      <c r="Q67" s="25"/>
      <c r="R67" s="15" t="s">
        <v>160</v>
      </c>
      <c r="S67" s="15"/>
      <c r="T67" s="15"/>
      <c r="U67" s="15" t="s">
        <v>402</v>
      </c>
      <c r="V67" s="15" t="s">
        <v>336</v>
      </c>
      <c r="W67" s="15" t="n">
        <v>94</v>
      </c>
      <c r="X67" s="15" t="s">
        <v>389</v>
      </c>
      <c r="Y67" s="15" t="s">
        <v>411</v>
      </c>
      <c r="Z67" s="15" t="s">
        <v>315</v>
      </c>
      <c r="AA67" s="15"/>
      <c r="AB67" s="15"/>
      <c r="AC67" s="15"/>
      <c r="AD67" s="15" t="s">
        <v>316</v>
      </c>
      <c r="AE67" s="26"/>
      <c r="AF67" s="27"/>
      <c r="AG67" s="27"/>
      <c r="AH67" s="27"/>
      <c r="AI67" s="26"/>
      <c r="AJ67" s="14" t="str">
        <f aca="false">IF(AE67="","",IF(AND(AE67=M67,ABS(N(AF67)-N(O67))&lt;=0.01,ABS(N(AG67)-N(P67))&lt;=0.01,ABS(N(AH67)-N(Q67))&lt;=0.01),"Y","N"))</f>
        <v/>
      </c>
      <c r="AK67" s="15"/>
      <c r="AL67" s="25"/>
      <c r="AM67" s="14" t="str">
        <f aca="false">IF(OR(AL67="",O67=""),"",IF(ABS(N(AL67)-N(O67))&lt;=0.01,"Y","N"))</f>
        <v/>
      </c>
      <c r="AN67" s="15" t="s">
        <v>11</v>
      </c>
      <c r="AO67" s="14" t="str">
        <f aca="false">IFERROR(INDEX(studies!$L:$L,MATCH($C67,studies!$A:$A,0)),"")</f>
        <v>Y</v>
      </c>
      <c r="AP67" s="14" t="str">
        <f aca="false">IF(AND(M67="REPORTED",V67=""),"출처 누락",IF(AND(M67="NOT_FOUND",AC67=""),"검색범위 누락",IF(F67="ARM",IF(OR(H67="",H67="NA"),"arm 누락","OK"),IF(F67="COMPARISON",IF(OR(I67="",I67="NA"),"비교쌍 누락",IF(OR(G67="",G67="NA"),"analysis_id 누락","OK")),IF(F67="","","OK")))))</f>
        <v>OK</v>
      </c>
      <c r="AQ67" s="15"/>
    </row>
    <row r="68" customFormat="false" ht="46.25" hidden="false" customHeight="false" outlineLevel="0" collapsed="false">
      <c r="A68" s="15" t="s">
        <v>412</v>
      </c>
      <c r="B68" s="15" t="s">
        <v>151</v>
      </c>
      <c r="C68" s="15" t="s">
        <v>81</v>
      </c>
      <c r="D68" s="15" t="s">
        <v>255</v>
      </c>
      <c r="E68" s="14" t="str">
        <f aca="false">IFERROR(INDEX(field_dictionary!$B:$B,MATCH($D68,field_dictionary!$A:$A,0)),"")</f>
        <v>IMMUNO</v>
      </c>
      <c r="F68" s="14" t="str">
        <f aca="false">IFERROR(INDEX(field_dictionary!$C:$C,MATCH($D68,field_dictionary!$A:$A,0)),"")</f>
        <v>ARM</v>
      </c>
      <c r="G68" s="15" t="s">
        <v>409</v>
      </c>
      <c r="H68" s="15" t="s">
        <v>228</v>
      </c>
      <c r="I68" s="15" t="s">
        <v>155</v>
      </c>
      <c r="J68" s="15" t="s">
        <v>242</v>
      </c>
      <c r="K68" s="15" t="s">
        <v>386</v>
      </c>
      <c r="L68" s="15" t="s">
        <v>171</v>
      </c>
      <c r="M68" s="15" t="s">
        <v>62</v>
      </c>
      <c r="N68" s="15" t="s">
        <v>413</v>
      </c>
      <c r="O68" s="25" t="n">
        <v>7.5</v>
      </c>
      <c r="P68" s="25"/>
      <c r="Q68" s="25"/>
      <c r="R68" s="15" t="s">
        <v>160</v>
      </c>
      <c r="S68" s="15"/>
      <c r="T68" s="15"/>
      <c r="U68" s="15" t="s">
        <v>402</v>
      </c>
      <c r="V68" s="15" t="s">
        <v>336</v>
      </c>
      <c r="W68" s="15" t="n">
        <v>94</v>
      </c>
      <c r="X68" s="15" t="s">
        <v>389</v>
      </c>
      <c r="Y68" s="15" t="s">
        <v>411</v>
      </c>
      <c r="Z68" s="15" t="s">
        <v>315</v>
      </c>
      <c r="AA68" s="15"/>
      <c r="AB68" s="15"/>
      <c r="AC68" s="15"/>
      <c r="AD68" s="15" t="s">
        <v>316</v>
      </c>
      <c r="AE68" s="26"/>
      <c r="AF68" s="27"/>
      <c r="AG68" s="27"/>
      <c r="AH68" s="27"/>
      <c r="AI68" s="26"/>
      <c r="AJ68" s="14" t="str">
        <f aca="false">IF(AE68="","",IF(AND(AE68=M68,ABS(N(AF68)-N(O68))&lt;=0.01,ABS(N(AG68)-N(P68))&lt;=0.01,ABS(N(AH68)-N(Q68))&lt;=0.01),"Y","N"))</f>
        <v/>
      </c>
      <c r="AK68" s="15"/>
      <c r="AL68" s="25"/>
      <c r="AM68" s="14" t="str">
        <f aca="false">IF(OR(AL68="",O68=""),"",IF(ABS(N(AL68)-N(O68))&lt;=0.01,"Y","N"))</f>
        <v/>
      </c>
      <c r="AN68" s="15" t="s">
        <v>11</v>
      </c>
      <c r="AO68" s="14" t="str">
        <f aca="false">IFERROR(INDEX(studies!$L:$L,MATCH($C68,studies!$A:$A,0)),"")</f>
        <v>Y</v>
      </c>
      <c r="AP68" s="14" t="str">
        <f aca="false">IF(AND(M68="REPORTED",V68=""),"출처 누락",IF(AND(M68="NOT_FOUND",AC68=""),"검색범위 누락",IF(F68="ARM",IF(OR(H68="",H68="NA"),"arm 누락","OK"),IF(F68="COMPARISON",IF(OR(I68="",I68="NA"),"비교쌍 누락",IF(OR(G68="",G68="NA"),"analysis_id 누락","OK")),IF(F68="","","OK")))))</f>
        <v>OK</v>
      </c>
      <c r="AQ68" s="15"/>
    </row>
    <row r="69" customFormat="false" ht="46.25" hidden="false" customHeight="false" outlineLevel="0" collapsed="false">
      <c r="A69" s="15" t="s">
        <v>414</v>
      </c>
      <c r="B69" s="15" t="s">
        <v>151</v>
      </c>
      <c r="C69" s="15" t="s">
        <v>81</v>
      </c>
      <c r="D69" s="15" t="s">
        <v>255</v>
      </c>
      <c r="E69" s="14" t="str">
        <f aca="false">IFERROR(INDEX(field_dictionary!$B:$B,MATCH($D69,field_dictionary!$A:$A,0)),"")</f>
        <v>IMMUNO</v>
      </c>
      <c r="F69" s="14" t="str">
        <f aca="false">IFERROR(INDEX(field_dictionary!$C:$C,MATCH($D69,field_dictionary!$A:$A,0)),"")</f>
        <v>ARM</v>
      </c>
      <c r="G69" s="15" t="s">
        <v>409</v>
      </c>
      <c r="H69" s="15" t="s">
        <v>230</v>
      </c>
      <c r="I69" s="15" t="s">
        <v>155</v>
      </c>
      <c r="J69" s="15" t="s">
        <v>242</v>
      </c>
      <c r="K69" s="15" t="s">
        <v>386</v>
      </c>
      <c r="L69" s="15" t="s">
        <v>171</v>
      </c>
      <c r="M69" s="15" t="s">
        <v>62</v>
      </c>
      <c r="N69" s="15" t="s">
        <v>415</v>
      </c>
      <c r="O69" s="25" t="n">
        <v>12.7</v>
      </c>
      <c r="P69" s="25"/>
      <c r="Q69" s="25"/>
      <c r="R69" s="15" t="s">
        <v>160</v>
      </c>
      <c r="S69" s="15"/>
      <c r="T69" s="15"/>
      <c r="U69" s="15" t="s">
        <v>402</v>
      </c>
      <c r="V69" s="15" t="s">
        <v>336</v>
      </c>
      <c r="W69" s="15" t="n">
        <v>94</v>
      </c>
      <c r="X69" s="15" t="s">
        <v>389</v>
      </c>
      <c r="Y69" s="15" t="s">
        <v>411</v>
      </c>
      <c r="Z69" s="15" t="s">
        <v>315</v>
      </c>
      <c r="AA69" s="15"/>
      <c r="AB69" s="15"/>
      <c r="AC69" s="15"/>
      <c r="AD69" s="15" t="s">
        <v>316</v>
      </c>
      <c r="AE69" s="26"/>
      <c r="AF69" s="27"/>
      <c r="AG69" s="27"/>
      <c r="AH69" s="27"/>
      <c r="AI69" s="26"/>
      <c r="AJ69" s="14" t="str">
        <f aca="false">IF(AE69="","",IF(AND(AE69=M69,ABS(N(AF69)-N(O69))&lt;=0.01,ABS(N(AG69)-N(P69))&lt;=0.01,ABS(N(AH69)-N(Q69))&lt;=0.01),"Y","N"))</f>
        <v/>
      </c>
      <c r="AK69" s="15"/>
      <c r="AL69" s="25"/>
      <c r="AM69" s="14" t="str">
        <f aca="false">IF(OR(AL69="",O69=""),"",IF(ABS(N(AL69)-N(O69))&lt;=0.01,"Y","N"))</f>
        <v/>
      </c>
      <c r="AN69" s="15" t="s">
        <v>11</v>
      </c>
      <c r="AO69" s="14" t="str">
        <f aca="false">IFERROR(INDEX(studies!$L:$L,MATCH($C69,studies!$A:$A,0)),"")</f>
        <v>Y</v>
      </c>
      <c r="AP69" s="14" t="str">
        <f aca="false">IF(AND(M69="REPORTED",V69=""),"출처 누락",IF(AND(M69="NOT_FOUND",AC69=""),"검색범위 누락",IF(F69="ARM",IF(OR(H69="",H69="NA"),"arm 누락","OK"),IF(F69="COMPARISON",IF(OR(I69="",I69="NA"),"비교쌍 누락",IF(OR(G69="",G69="NA"),"analysis_id 누락","OK")),IF(F69="","","OK")))))</f>
        <v>OK</v>
      </c>
      <c r="AQ69" s="15"/>
    </row>
    <row r="70" customFormat="false" ht="29.85" hidden="false" customHeight="false" outlineLevel="0" collapsed="false">
      <c r="A70" s="15" t="s">
        <v>416</v>
      </c>
      <c r="B70" s="15" t="s">
        <v>151</v>
      </c>
      <c r="C70" s="15" t="s">
        <v>81</v>
      </c>
      <c r="D70" s="15" t="s">
        <v>264</v>
      </c>
      <c r="E70" s="14" t="str">
        <f aca="false">IFERROR(INDEX(field_dictionary!$B:$B,MATCH($D70,field_dictionary!$A:$A,0)),"")</f>
        <v>PK</v>
      </c>
      <c r="F70" s="14" t="str">
        <f aca="false">IFERROR(INDEX(field_dictionary!$C:$C,MATCH($D70,field_dictionary!$A:$A,0)),"")</f>
        <v>COMPARISON</v>
      </c>
      <c r="G70" s="15" t="s">
        <v>154</v>
      </c>
      <c r="H70" s="15" t="s">
        <v>155</v>
      </c>
      <c r="I70" s="15" t="s">
        <v>265</v>
      </c>
      <c r="J70" s="15" t="s">
        <v>233</v>
      </c>
      <c r="K70" s="15" t="s">
        <v>266</v>
      </c>
      <c r="L70" s="15" t="s">
        <v>171</v>
      </c>
      <c r="M70" s="15" t="s">
        <v>62</v>
      </c>
      <c r="N70" s="15" t="s">
        <v>417</v>
      </c>
      <c r="O70" s="25" t="n">
        <v>93.91</v>
      </c>
      <c r="P70" s="25" t="n">
        <v>86.2</v>
      </c>
      <c r="Q70" s="25" t="n">
        <v>102.32</v>
      </c>
      <c r="R70" s="15" t="s">
        <v>160</v>
      </c>
      <c r="S70" s="15" t="n">
        <v>76</v>
      </c>
      <c r="T70" s="15" t="n">
        <v>77</v>
      </c>
      <c r="U70" s="15"/>
      <c r="V70" s="15" t="s">
        <v>336</v>
      </c>
      <c r="W70" s="15" t="n">
        <v>44</v>
      </c>
      <c r="X70" s="15" t="s">
        <v>360</v>
      </c>
      <c r="Y70" s="15" t="s">
        <v>418</v>
      </c>
      <c r="Z70" s="15" t="s">
        <v>315</v>
      </c>
      <c r="AA70" s="15"/>
      <c r="AB70" s="15"/>
      <c r="AC70" s="15"/>
      <c r="AD70" s="15" t="s">
        <v>316</v>
      </c>
      <c r="AE70" s="26"/>
      <c r="AF70" s="27"/>
      <c r="AG70" s="27"/>
      <c r="AH70" s="27"/>
      <c r="AI70" s="26"/>
      <c r="AJ70" s="14" t="str">
        <f aca="false">IF(AE70="","",IF(AND(AE70=M70,ABS(N(AF70)-N(O70))&lt;=0.01,ABS(N(AG70)-N(P70))&lt;=0.01,ABS(N(AH70)-N(Q70))&lt;=0.01),"Y","N"))</f>
        <v/>
      </c>
      <c r="AK70" s="15" t="s">
        <v>272</v>
      </c>
      <c r="AL70" s="25" t="n">
        <v>93.91</v>
      </c>
      <c r="AM70" s="14" t="str">
        <f aca="false">IF(OR(AL70="",O70=""),"",IF(ABS(N(AL70)-N(O70))&lt;=0.01,"Y","N"))</f>
        <v>Y</v>
      </c>
      <c r="AN70" s="15" t="s">
        <v>11</v>
      </c>
      <c r="AO70" s="14" t="str">
        <f aca="false">IFERROR(INDEX(studies!$L:$L,MATCH($C70,studies!$A:$A,0)),"")</f>
        <v>Y</v>
      </c>
      <c r="AP70" s="14" t="str">
        <f aca="false">IF(AND(M70="REPORTED",V70=""),"출처 누락",IF(AND(M70="NOT_FOUND",AC70=""),"검색범위 누락",IF(F70="ARM",IF(OR(H70="",H70="NA"),"arm 누락","OK"),IF(F70="COMPARISON",IF(OR(I70="",I70="NA"),"비교쌍 누락",IF(OR(G70="",G70="NA"),"analysis_id 누락","OK")),IF(F70="","","OK")))))</f>
        <v>OK</v>
      </c>
      <c r="AQ70" s="13" t="s">
        <v>419</v>
      </c>
    </row>
    <row r="71" customFormat="false" ht="29.85" hidden="false" customHeight="false" outlineLevel="0" collapsed="false">
      <c r="A71" s="15" t="s">
        <v>420</v>
      </c>
      <c r="B71" s="15" t="s">
        <v>151</v>
      </c>
      <c r="C71" s="15" t="s">
        <v>81</v>
      </c>
      <c r="D71" s="15" t="s">
        <v>264</v>
      </c>
      <c r="E71" s="14" t="str">
        <f aca="false">IFERROR(INDEX(field_dictionary!$B:$B,MATCH($D71,field_dictionary!$A:$A,0)),"")</f>
        <v>PK</v>
      </c>
      <c r="F71" s="14" t="str">
        <f aca="false">IFERROR(INDEX(field_dictionary!$C:$C,MATCH($D71,field_dictionary!$A:$A,0)),"")</f>
        <v>COMPARISON</v>
      </c>
      <c r="G71" s="15" t="s">
        <v>154</v>
      </c>
      <c r="H71" s="15" t="s">
        <v>155</v>
      </c>
      <c r="I71" s="15" t="s">
        <v>275</v>
      </c>
      <c r="J71" s="15" t="s">
        <v>233</v>
      </c>
      <c r="K71" s="15" t="s">
        <v>266</v>
      </c>
      <c r="L71" s="15" t="s">
        <v>171</v>
      </c>
      <c r="M71" s="15" t="s">
        <v>62</v>
      </c>
      <c r="N71" s="15" t="s">
        <v>421</v>
      </c>
      <c r="O71" s="25" t="n">
        <v>101.24</v>
      </c>
      <c r="P71" s="25" t="n">
        <v>92.89</v>
      </c>
      <c r="Q71" s="25" t="n">
        <v>110.34</v>
      </c>
      <c r="R71" s="15" t="s">
        <v>160</v>
      </c>
      <c r="S71" s="15" t="n">
        <v>76</v>
      </c>
      <c r="T71" s="15" t="n">
        <v>76</v>
      </c>
      <c r="U71" s="15"/>
      <c r="V71" s="15" t="s">
        <v>336</v>
      </c>
      <c r="W71" s="15" t="n">
        <v>44</v>
      </c>
      <c r="X71" s="15" t="s">
        <v>360</v>
      </c>
      <c r="Y71" s="15" t="s">
        <v>418</v>
      </c>
      <c r="Z71" s="15" t="s">
        <v>315</v>
      </c>
      <c r="AA71" s="15"/>
      <c r="AB71" s="15"/>
      <c r="AC71" s="15"/>
      <c r="AD71" s="15" t="s">
        <v>316</v>
      </c>
      <c r="AE71" s="26"/>
      <c r="AF71" s="27"/>
      <c r="AG71" s="27"/>
      <c r="AH71" s="27"/>
      <c r="AI71" s="26"/>
      <c r="AJ71" s="14" t="str">
        <f aca="false">IF(AE71="","",IF(AND(AE71=M71,ABS(N(AF71)-N(O71))&lt;=0.01,ABS(N(AG71)-N(P71))&lt;=0.01,ABS(N(AH71)-N(Q71))&lt;=0.01),"Y","N"))</f>
        <v/>
      </c>
      <c r="AK71" s="15"/>
      <c r="AL71" s="25"/>
      <c r="AM71" s="14" t="str">
        <f aca="false">IF(OR(AL71="",O71=""),"",IF(ABS(N(AL71)-N(O71))&lt;=0.01,"Y","N"))</f>
        <v/>
      </c>
      <c r="AN71" s="15" t="s">
        <v>11</v>
      </c>
      <c r="AO71" s="14" t="str">
        <f aca="false">IFERROR(INDEX(studies!$L:$L,MATCH($C71,studies!$A:$A,0)),"")</f>
        <v>Y</v>
      </c>
      <c r="AP71" s="14" t="str">
        <f aca="false">IF(AND(M71="REPORTED",V71=""),"출처 누락",IF(AND(M71="NOT_FOUND",AC71=""),"검색범위 누락",IF(F71="ARM",IF(OR(H71="",H71="NA"),"arm 누락","OK"),IF(F71="COMPARISON",IF(OR(I71="",I71="NA"),"비교쌍 누락",IF(OR(G71="",G71="NA"),"analysis_id 누락","OK")),IF(F71="","","OK")))))</f>
        <v>OK</v>
      </c>
      <c r="AQ71" s="13" t="s">
        <v>419</v>
      </c>
    </row>
    <row r="72" customFormat="false" ht="29.85" hidden="false" customHeight="false" outlineLevel="0" collapsed="false">
      <c r="A72" s="15" t="s">
        <v>422</v>
      </c>
      <c r="B72" s="15" t="s">
        <v>151</v>
      </c>
      <c r="C72" s="15" t="s">
        <v>81</v>
      </c>
      <c r="D72" s="15" t="s">
        <v>264</v>
      </c>
      <c r="E72" s="14" t="str">
        <f aca="false">IFERROR(INDEX(field_dictionary!$B:$B,MATCH($D72,field_dictionary!$A:$A,0)),"")</f>
        <v>PK</v>
      </c>
      <c r="F72" s="14" t="str">
        <f aca="false">IFERROR(INDEX(field_dictionary!$C:$C,MATCH($D72,field_dictionary!$A:$A,0)),"")</f>
        <v>COMPARISON</v>
      </c>
      <c r="G72" s="15" t="s">
        <v>154</v>
      </c>
      <c r="H72" s="15" t="s">
        <v>155</v>
      </c>
      <c r="I72" s="15" t="s">
        <v>423</v>
      </c>
      <c r="J72" s="15" t="s">
        <v>233</v>
      </c>
      <c r="K72" s="15" t="s">
        <v>266</v>
      </c>
      <c r="L72" s="15" t="s">
        <v>171</v>
      </c>
      <c r="M72" s="15" t="s">
        <v>62</v>
      </c>
      <c r="N72" s="15" t="s">
        <v>424</v>
      </c>
      <c r="O72" s="25" t="n">
        <v>92.76</v>
      </c>
      <c r="P72" s="25" t="n">
        <v>85.14</v>
      </c>
      <c r="Q72" s="25" t="n">
        <v>101.07</v>
      </c>
      <c r="R72" s="15" t="s">
        <v>160</v>
      </c>
      <c r="S72" s="15" t="n">
        <v>76</v>
      </c>
      <c r="T72" s="15" t="n">
        <v>77</v>
      </c>
      <c r="U72" s="15"/>
      <c r="V72" s="15" t="s">
        <v>336</v>
      </c>
      <c r="W72" s="15" t="n">
        <v>44</v>
      </c>
      <c r="X72" s="15" t="s">
        <v>360</v>
      </c>
      <c r="Y72" s="15" t="s">
        <v>418</v>
      </c>
      <c r="Z72" s="15" t="s">
        <v>315</v>
      </c>
      <c r="AA72" s="15"/>
      <c r="AB72" s="15"/>
      <c r="AC72" s="15"/>
      <c r="AD72" s="15" t="s">
        <v>316</v>
      </c>
      <c r="AE72" s="26"/>
      <c r="AF72" s="27"/>
      <c r="AG72" s="27"/>
      <c r="AH72" s="27"/>
      <c r="AI72" s="26"/>
      <c r="AJ72" s="14" t="str">
        <f aca="false">IF(AE72="","",IF(AND(AE72=M72,ABS(N(AF72)-N(O72))&lt;=0.01,ABS(N(AG72)-N(P72))&lt;=0.01,ABS(N(AH72)-N(Q72))&lt;=0.01),"Y","N"))</f>
        <v/>
      </c>
      <c r="AK72" s="15"/>
      <c r="AL72" s="25"/>
      <c r="AM72" s="14" t="str">
        <f aca="false">IF(OR(AL72="",O72=""),"",IF(ABS(N(AL72)-N(O72))&lt;=0.01,"Y","N"))</f>
        <v/>
      </c>
      <c r="AN72" s="15" t="s">
        <v>11</v>
      </c>
      <c r="AO72" s="14" t="str">
        <f aca="false">IFERROR(INDEX(studies!$L:$L,MATCH($C72,studies!$A:$A,0)),"")</f>
        <v>Y</v>
      </c>
      <c r="AP72" s="14" t="str">
        <f aca="false">IF(AND(M72="REPORTED",V72=""),"출처 누락",IF(AND(M72="NOT_FOUND",AC72=""),"검색범위 누락",IF(F72="ARM",IF(OR(H72="",H72="NA"),"arm 누락","OK"),IF(F72="COMPARISON",IF(OR(I72="",I72="NA"),"비교쌍 누락",IF(OR(G72="",G72="NA"),"analysis_id 누락","OK")),IF(F72="","","OK")))))</f>
        <v>OK</v>
      </c>
      <c r="AQ72" s="13" t="s">
        <v>425</v>
      </c>
    </row>
    <row r="73" customFormat="false" ht="29.85" hidden="false" customHeight="false" outlineLevel="0" collapsed="false">
      <c r="A73" s="15" t="s">
        <v>426</v>
      </c>
      <c r="B73" s="15" t="s">
        <v>151</v>
      </c>
      <c r="C73" s="15" t="s">
        <v>81</v>
      </c>
      <c r="D73" s="15" t="s">
        <v>286</v>
      </c>
      <c r="E73" s="14" t="str">
        <f aca="false">IFERROR(INDEX(field_dictionary!$B:$B,MATCH($D73,field_dictionary!$A:$A,0)),"")</f>
        <v>PK</v>
      </c>
      <c r="F73" s="14" t="str">
        <f aca="false">IFERROR(INDEX(field_dictionary!$C:$C,MATCH($D73,field_dictionary!$A:$A,0)),"")</f>
        <v>COMPARISON</v>
      </c>
      <c r="G73" s="15" t="s">
        <v>154</v>
      </c>
      <c r="H73" s="15" t="s">
        <v>155</v>
      </c>
      <c r="I73" s="15" t="s">
        <v>265</v>
      </c>
      <c r="J73" s="15" t="s">
        <v>233</v>
      </c>
      <c r="K73" s="15" t="s">
        <v>266</v>
      </c>
      <c r="L73" s="15" t="s">
        <v>171</v>
      </c>
      <c r="M73" s="15" t="s">
        <v>62</v>
      </c>
      <c r="N73" s="15" t="s">
        <v>427</v>
      </c>
      <c r="O73" s="25" t="n">
        <v>94.28</v>
      </c>
      <c r="P73" s="25" t="n">
        <v>86.85</v>
      </c>
      <c r="Q73" s="25" t="n">
        <v>102.35</v>
      </c>
      <c r="R73" s="15" t="s">
        <v>160</v>
      </c>
      <c r="S73" s="15" t="n">
        <v>78</v>
      </c>
      <c r="T73" s="15" t="n">
        <v>80</v>
      </c>
      <c r="U73" s="15"/>
      <c r="V73" s="15" t="s">
        <v>336</v>
      </c>
      <c r="W73" s="15" t="n">
        <v>44</v>
      </c>
      <c r="X73" s="15" t="s">
        <v>360</v>
      </c>
      <c r="Y73" s="15" t="s">
        <v>418</v>
      </c>
      <c r="Z73" s="15" t="s">
        <v>315</v>
      </c>
      <c r="AA73" s="15"/>
      <c r="AB73" s="15"/>
      <c r="AC73" s="15"/>
      <c r="AD73" s="15" t="s">
        <v>316</v>
      </c>
      <c r="AE73" s="26"/>
      <c r="AF73" s="27"/>
      <c r="AG73" s="27"/>
      <c r="AH73" s="27"/>
      <c r="AI73" s="26"/>
      <c r="AJ73" s="14" t="str">
        <f aca="false">IF(AE73="","",IF(AND(AE73=M73,ABS(N(AF73)-N(O73))&lt;=0.01,ABS(N(AG73)-N(P73))&lt;=0.01,ABS(N(AH73)-N(Q73))&lt;=0.01),"Y","N"))</f>
        <v/>
      </c>
      <c r="AK73" s="15"/>
      <c r="AL73" s="25"/>
      <c r="AM73" s="14" t="str">
        <f aca="false">IF(OR(AL73="",O73=""),"",IF(ABS(N(AL73)-N(O73))&lt;=0.01,"Y","N"))</f>
        <v/>
      </c>
      <c r="AN73" s="15" t="s">
        <v>11</v>
      </c>
      <c r="AO73" s="14" t="str">
        <f aca="false">IFERROR(INDEX(studies!$L:$L,MATCH($C73,studies!$A:$A,0)),"")</f>
        <v>Y</v>
      </c>
      <c r="AP73" s="14" t="str">
        <f aca="false">IF(AND(M73="REPORTED",V73=""),"출처 누락",IF(AND(M73="NOT_FOUND",AC73=""),"검색범위 누락",IF(F73="ARM",IF(OR(H73="",H73="NA"),"arm 누락","OK"),IF(F73="COMPARISON",IF(OR(I73="",I73="NA"),"비교쌍 누락",IF(OR(G73="",G73="NA"),"analysis_id 누락","OK")),IF(F73="","","OK")))))</f>
        <v>OK</v>
      </c>
      <c r="AQ73" s="13" t="s">
        <v>419</v>
      </c>
    </row>
    <row r="74" customFormat="false" ht="29.85" hidden="false" customHeight="false" outlineLevel="0" collapsed="false">
      <c r="A74" s="15" t="s">
        <v>428</v>
      </c>
      <c r="B74" s="15" t="s">
        <v>151</v>
      </c>
      <c r="C74" s="15" t="s">
        <v>81</v>
      </c>
      <c r="D74" s="15" t="s">
        <v>286</v>
      </c>
      <c r="E74" s="14" t="str">
        <f aca="false">IFERROR(INDEX(field_dictionary!$B:$B,MATCH($D74,field_dictionary!$A:$A,0)),"")</f>
        <v>PK</v>
      </c>
      <c r="F74" s="14" t="str">
        <f aca="false">IFERROR(INDEX(field_dictionary!$C:$C,MATCH($D74,field_dictionary!$A:$A,0)),"")</f>
        <v>COMPARISON</v>
      </c>
      <c r="G74" s="15" t="s">
        <v>154</v>
      </c>
      <c r="H74" s="15" t="s">
        <v>155</v>
      </c>
      <c r="I74" s="15" t="s">
        <v>275</v>
      </c>
      <c r="J74" s="15" t="s">
        <v>233</v>
      </c>
      <c r="K74" s="15" t="s">
        <v>266</v>
      </c>
      <c r="L74" s="15" t="s">
        <v>171</v>
      </c>
      <c r="M74" s="15" t="s">
        <v>62</v>
      </c>
      <c r="N74" s="15" t="s">
        <v>429</v>
      </c>
      <c r="O74" s="25" t="n">
        <v>101.62</v>
      </c>
      <c r="P74" s="25" t="n">
        <v>93.58</v>
      </c>
      <c r="Q74" s="25" t="n">
        <v>110.35</v>
      </c>
      <c r="R74" s="15" t="s">
        <v>160</v>
      </c>
      <c r="S74" s="15" t="n">
        <v>78</v>
      </c>
      <c r="T74" s="15" t="n">
        <v>79</v>
      </c>
      <c r="U74" s="15"/>
      <c r="V74" s="15" t="s">
        <v>336</v>
      </c>
      <c r="W74" s="15" t="n">
        <v>44</v>
      </c>
      <c r="X74" s="15" t="s">
        <v>360</v>
      </c>
      <c r="Y74" s="15" t="s">
        <v>418</v>
      </c>
      <c r="Z74" s="15" t="s">
        <v>315</v>
      </c>
      <c r="AA74" s="15"/>
      <c r="AB74" s="15"/>
      <c r="AC74" s="15"/>
      <c r="AD74" s="15" t="s">
        <v>316</v>
      </c>
      <c r="AE74" s="26"/>
      <c r="AF74" s="27"/>
      <c r="AG74" s="27"/>
      <c r="AH74" s="27"/>
      <c r="AI74" s="26"/>
      <c r="AJ74" s="14" t="str">
        <f aca="false">IF(AE74="","",IF(AND(AE74=M74,ABS(N(AF74)-N(O74))&lt;=0.01,ABS(N(AG74)-N(P74))&lt;=0.01,ABS(N(AH74)-N(Q74))&lt;=0.01),"Y","N"))</f>
        <v/>
      </c>
      <c r="AK74" s="15"/>
      <c r="AL74" s="25"/>
      <c r="AM74" s="14" t="str">
        <f aca="false">IF(OR(AL74="",O74=""),"",IF(ABS(N(AL74)-N(O74))&lt;=0.01,"Y","N"))</f>
        <v/>
      </c>
      <c r="AN74" s="15" t="s">
        <v>11</v>
      </c>
      <c r="AO74" s="14" t="str">
        <f aca="false">IFERROR(INDEX(studies!$L:$L,MATCH($C74,studies!$A:$A,0)),"")</f>
        <v>Y</v>
      </c>
      <c r="AP74" s="14" t="str">
        <f aca="false">IF(AND(M74="REPORTED",V74=""),"출처 누락",IF(AND(M74="NOT_FOUND",AC74=""),"검색범위 누락",IF(F74="ARM",IF(OR(H74="",H74="NA"),"arm 누락","OK"),IF(F74="COMPARISON",IF(OR(I74="",I74="NA"),"비교쌍 누락",IF(OR(G74="",G74="NA"),"analysis_id 누락","OK")),IF(F74="","","OK")))))</f>
        <v>OK</v>
      </c>
      <c r="AQ74" s="13" t="s">
        <v>419</v>
      </c>
    </row>
    <row r="75" customFormat="false" ht="29.85" hidden="false" customHeight="false" outlineLevel="0" collapsed="false">
      <c r="A75" s="15" t="s">
        <v>430</v>
      </c>
      <c r="B75" s="15" t="s">
        <v>151</v>
      </c>
      <c r="C75" s="15" t="s">
        <v>81</v>
      </c>
      <c r="D75" s="15" t="s">
        <v>286</v>
      </c>
      <c r="E75" s="14" t="str">
        <f aca="false">IFERROR(INDEX(field_dictionary!$B:$B,MATCH($D75,field_dictionary!$A:$A,0)),"")</f>
        <v>PK</v>
      </c>
      <c r="F75" s="14" t="str">
        <f aca="false">IFERROR(INDEX(field_dictionary!$C:$C,MATCH($D75,field_dictionary!$A:$A,0)),"")</f>
        <v>COMPARISON</v>
      </c>
      <c r="G75" s="15" t="s">
        <v>154</v>
      </c>
      <c r="H75" s="15" t="s">
        <v>155</v>
      </c>
      <c r="I75" s="15" t="s">
        <v>423</v>
      </c>
      <c r="J75" s="15" t="s">
        <v>233</v>
      </c>
      <c r="K75" s="15" t="s">
        <v>266</v>
      </c>
      <c r="L75" s="15" t="s">
        <v>171</v>
      </c>
      <c r="M75" s="15" t="s">
        <v>62</v>
      </c>
      <c r="N75" s="15" t="s">
        <v>431</v>
      </c>
      <c r="O75" s="25" t="n">
        <v>92.78</v>
      </c>
      <c r="P75" s="25" t="n">
        <v>85.49</v>
      </c>
      <c r="Q75" s="25" t="n">
        <v>100.69</v>
      </c>
      <c r="R75" s="15" t="s">
        <v>160</v>
      </c>
      <c r="S75" s="15" t="n">
        <v>79</v>
      </c>
      <c r="T75" s="15" t="n">
        <v>80</v>
      </c>
      <c r="U75" s="15"/>
      <c r="V75" s="15" t="s">
        <v>336</v>
      </c>
      <c r="W75" s="15" t="n">
        <v>44</v>
      </c>
      <c r="X75" s="15" t="s">
        <v>360</v>
      </c>
      <c r="Y75" s="15" t="s">
        <v>418</v>
      </c>
      <c r="Z75" s="15" t="s">
        <v>315</v>
      </c>
      <c r="AA75" s="15"/>
      <c r="AB75" s="15"/>
      <c r="AC75" s="15"/>
      <c r="AD75" s="15" t="s">
        <v>316</v>
      </c>
      <c r="AE75" s="26"/>
      <c r="AF75" s="27"/>
      <c r="AG75" s="27"/>
      <c r="AH75" s="27"/>
      <c r="AI75" s="26"/>
      <c r="AJ75" s="14" t="str">
        <f aca="false">IF(AE75="","",IF(AND(AE75=M75,ABS(N(AF75)-N(O75))&lt;=0.01,ABS(N(AG75)-N(P75))&lt;=0.01,ABS(N(AH75)-N(Q75))&lt;=0.01),"Y","N"))</f>
        <v/>
      </c>
      <c r="AK75" s="15"/>
      <c r="AL75" s="25"/>
      <c r="AM75" s="14" t="str">
        <f aca="false">IF(OR(AL75="",O75=""),"",IF(ABS(N(AL75)-N(O75))&lt;=0.01,"Y","N"))</f>
        <v/>
      </c>
      <c r="AN75" s="15" t="s">
        <v>11</v>
      </c>
      <c r="AO75" s="14" t="str">
        <f aca="false">IFERROR(INDEX(studies!$L:$L,MATCH($C75,studies!$A:$A,0)),"")</f>
        <v>Y</v>
      </c>
      <c r="AP75" s="14" t="str">
        <f aca="false">IF(AND(M75="REPORTED",V75=""),"출처 누락",IF(AND(M75="NOT_FOUND",AC75=""),"검색범위 누락",IF(F75="ARM",IF(OR(H75="",H75="NA"),"arm 누락","OK"),IF(F75="COMPARISON",IF(OR(I75="",I75="NA"),"비교쌍 누락",IF(OR(G75="",G75="NA"),"analysis_id 누락","OK")),IF(F75="","","OK")))))</f>
        <v>OK</v>
      </c>
      <c r="AQ75" s="13" t="s">
        <v>425</v>
      </c>
    </row>
    <row r="76" customFormat="false" ht="29.85" hidden="false" customHeight="false" outlineLevel="0" collapsed="false">
      <c r="A76" s="15" t="s">
        <v>432</v>
      </c>
      <c r="B76" s="15" t="s">
        <v>151</v>
      </c>
      <c r="C76" s="15" t="s">
        <v>81</v>
      </c>
      <c r="D76" s="15" t="s">
        <v>166</v>
      </c>
      <c r="E76" s="14" t="str">
        <f aca="false">IFERROR(INDEX(field_dictionary!$B:$B,MATCH($D76,field_dictionary!$A:$A,0)),"")</f>
        <v>PK</v>
      </c>
      <c r="F76" s="14" t="str">
        <f aca="false">IFERROR(INDEX(field_dictionary!$C:$C,MATCH($D76,field_dictionary!$A:$A,0)),"")</f>
        <v>COMPARISON</v>
      </c>
      <c r="G76" s="15" t="s">
        <v>154</v>
      </c>
      <c r="H76" s="15" t="s">
        <v>155</v>
      </c>
      <c r="I76" s="15" t="s">
        <v>265</v>
      </c>
      <c r="J76" s="15" t="s">
        <v>233</v>
      </c>
      <c r="K76" s="15" t="s">
        <v>266</v>
      </c>
      <c r="L76" s="15" t="s">
        <v>171</v>
      </c>
      <c r="M76" s="15" t="s">
        <v>62</v>
      </c>
      <c r="N76" s="15" t="s">
        <v>433</v>
      </c>
      <c r="O76" s="25" t="n">
        <v>94.52</v>
      </c>
      <c r="P76" s="25" t="n">
        <v>87.79</v>
      </c>
      <c r="Q76" s="25" t="n">
        <v>101.75</v>
      </c>
      <c r="R76" s="15" t="s">
        <v>160</v>
      </c>
      <c r="S76" s="15" t="n">
        <v>78</v>
      </c>
      <c r="T76" s="15" t="n">
        <v>80</v>
      </c>
      <c r="U76" s="15"/>
      <c r="V76" s="15" t="s">
        <v>336</v>
      </c>
      <c r="W76" s="15" t="n">
        <v>44</v>
      </c>
      <c r="X76" s="15" t="s">
        <v>360</v>
      </c>
      <c r="Y76" s="15" t="s">
        <v>418</v>
      </c>
      <c r="Z76" s="15" t="s">
        <v>315</v>
      </c>
      <c r="AA76" s="15"/>
      <c r="AB76" s="15"/>
      <c r="AC76" s="15"/>
      <c r="AD76" s="15" t="s">
        <v>316</v>
      </c>
      <c r="AE76" s="26"/>
      <c r="AF76" s="27"/>
      <c r="AG76" s="27"/>
      <c r="AH76" s="27"/>
      <c r="AI76" s="26"/>
      <c r="AJ76" s="14" t="str">
        <f aca="false">IF(AE76="","",IF(AND(AE76=M76,ABS(N(AF76)-N(O76))&lt;=0.01,ABS(N(AG76)-N(P76))&lt;=0.01,ABS(N(AH76)-N(Q76))&lt;=0.01),"Y","N"))</f>
        <v/>
      </c>
      <c r="AK76" s="15" t="s">
        <v>272</v>
      </c>
      <c r="AL76" s="25" t="n">
        <v>94.52</v>
      </c>
      <c r="AM76" s="14" t="str">
        <f aca="false">IF(OR(AL76="",O76=""),"",IF(ABS(N(AL76)-N(O76))&lt;=0.01,"Y","N"))</f>
        <v>Y</v>
      </c>
      <c r="AN76" s="15" t="s">
        <v>11</v>
      </c>
      <c r="AO76" s="14" t="str">
        <f aca="false">IFERROR(INDEX(studies!$L:$L,MATCH($C76,studies!$A:$A,0)),"")</f>
        <v>Y</v>
      </c>
      <c r="AP76" s="14" t="str">
        <f aca="false">IF(AND(M76="REPORTED",V76=""),"출처 누락",IF(AND(M76="NOT_FOUND",AC76=""),"검색범위 누락",IF(F76="ARM",IF(OR(H76="",H76="NA"),"arm 누락","OK"),IF(F76="COMPARISON",IF(OR(I76="",I76="NA"),"비교쌍 누락",IF(OR(G76="",G76="NA"),"analysis_id 누락","OK")),IF(F76="","","OK")))))</f>
        <v>OK</v>
      </c>
      <c r="AQ76" s="13" t="s">
        <v>419</v>
      </c>
    </row>
    <row r="77" customFormat="false" ht="29.85" hidden="false" customHeight="false" outlineLevel="0" collapsed="false">
      <c r="A77" s="15" t="s">
        <v>434</v>
      </c>
      <c r="B77" s="15" t="s">
        <v>151</v>
      </c>
      <c r="C77" s="15" t="s">
        <v>81</v>
      </c>
      <c r="D77" s="15" t="s">
        <v>166</v>
      </c>
      <c r="E77" s="14" t="str">
        <f aca="false">IFERROR(INDEX(field_dictionary!$B:$B,MATCH($D77,field_dictionary!$A:$A,0)),"")</f>
        <v>PK</v>
      </c>
      <c r="F77" s="14" t="str">
        <f aca="false">IFERROR(INDEX(field_dictionary!$C:$C,MATCH($D77,field_dictionary!$A:$A,0)),"")</f>
        <v>COMPARISON</v>
      </c>
      <c r="G77" s="15" t="s">
        <v>154</v>
      </c>
      <c r="H77" s="15" t="s">
        <v>155</v>
      </c>
      <c r="I77" s="15" t="s">
        <v>275</v>
      </c>
      <c r="J77" s="15" t="s">
        <v>233</v>
      </c>
      <c r="K77" s="15" t="s">
        <v>266</v>
      </c>
      <c r="L77" s="15" t="s">
        <v>171</v>
      </c>
      <c r="M77" s="15" t="s">
        <v>62</v>
      </c>
      <c r="N77" s="15" t="s">
        <v>435</v>
      </c>
      <c r="O77" s="25" t="n">
        <v>100.3</v>
      </c>
      <c r="P77" s="25" t="n">
        <v>93.14</v>
      </c>
      <c r="Q77" s="25" t="n">
        <v>108.01</v>
      </c>
      <c r="R77" s="15" t="s">
        <v>160</v>
      </c>
      <c r="S77" s="15" t="n">
        <v>78</v>
      </c>
      <c r="T77" s="15" t="n">
        <v>79</v>
      </c>
      <c r="U77" s="15"/>
      <c r="V77" s="15" t="s">
        <v>336</v>
      </c>
      <c r="W77" s="15" t="n">
        <v>44</v>
      </c>
      <c r="X77" s="15" t="s">
        <v>360</v>
      </c>
      <c r="Y77" s="15" t="s">
        <v>418</v>
      </c>
      <c r="Z77" s="15" t="s">
        <v>315</v>
      </c>
      <c r="AA77" s="15"/>
      <c r="AB77" s="15"/>
      <c r="AC77" s="15"/>
      <c r="AD77" s="15" t="s">
        <v>316</v>
      </c>
      <c r="AE77" s="26"/>
      <c r="AF77" s="27"/>
      <c r="AG77" s="27"/>
      <c r="AH77" s="27"/>
      <c r="AI77" s="26"/>
      <c r="AJ77" s="14" t="str">
        <f aca="false">IF(AE77="","",IF(AND(AE77=M77,ABS(N(AF77)-N(O77))&lt;=0.01,ABS(N(AG77)-N(P77))&lt;=0.01,ABS(N(AH77)-N(Q77))&lt;=0.01),"Y","N"))</f>
        <v/>
      </c>
      <c r="AK77" s="15"/>
      <c r="AL77" s="25"/>
      <c r="AM77" s="14" t="str">
        <f aca="false">IF(OR(AL77="",O77=""),"",IF(ABS(N(AL77)-N(O77))&lt;=0.01,"Y","N"))</f>
        <v/>
      </c>
      <c r="AN77" s="15" t="s">
        <v>11</v>
      </c>
      <c r="AO77" s="14" t="str">
        <f aca="false">IFERROR(INDEX(studies!$L:$L,MATCH($C77,studies!$A:$A,0)),"")</f>
        <v>Y</v>
      </c>
      <c r="AP77" s="14" t="str">
        <f aca="false">IF(AND(M77="REPORTED",V77=""),"출처 누락",IF(AND(M77="NOT_FOUND",AC77=""),"검색범위 누락",IF(F77="ARM",IF(OR(H77="",H77="NA"),"arm 누락","OK"),IF(F77="COMPARISON",IF(OR(I77="",I77="NA"),"비교쌍 누락",IF(OR(G77="",G77="NA"),"analysis_id 누락","OK")),IF(F77="","","OK")))))</f>
        <v>OK</v>
      </c>
      <c r="AQ77" s="13" t="s">
        <v>419</v>
      </c>
    </row>
    <row r="78" customFormat="false" ht="29.85" hidden="false" customHeight="false" outlineLevel="0" collapsed="false">
      <c r="A78" s="15" t="s">
        <v>436</v>
      </c>
      <c r="B78" s="15" t="s">
        <v>151</v>
      </c>
      <c r="C78" s="15" t="s">
        <v>81</v>
      </c>
      <c r="D78" s="15" t="s">
        <v>166</v>
      </c>
      <c r="E78" s="14" t="str">
        <f aca="false">IFERROR(INDEX(field_dictionary!$B:$B,MATCH($D78,field_dictionary!$A:$A,0)),"")</f>
        <v>PK</v>
      </c>
      <c r="F78" s="14" t="str">
        <f aca="false">IFERROR(INDEX(field_dictionary!$C:$C,MATCH($D78,field_dictionary!$A:$A,0)),"")</f>
        <v>COMPARISON</v>
      </c>
      <c r="G78" s="15" t="s">
        <v>154</v>
      </c>
      <c r="H78" s="15" t="s">
        <v>155</v>
      </c>
      <c r="I78" s="15" t="s">
        <v>423</v>
      </c>
      <c r="J78" s="15" t="s">
        <v>233</v>
      </c>
      <c r="K78" s="15" t="s">
        <v>266</v>
      </c>
      <c r="L78" s="15" t="s">
        <v>171</v>
      </c>
      <c r="M78" s="15" t="s">
        <v>62</v>
      </c>
      <c r="N78" s="15" t="s">
        <v>437</v>
      </c>
      <c r="O78" s="25" t="n">
        <v>94.23</v>
      </c>
      <c r="P78" s="25" t="n">
        <v>87.55</v>
      </c>
      <c r="Q78" s="25" t="n">
        <v>101.43</v>
      </c>
      <c r="R78" s="15" t="s">
        <v>160</v>
      </c>
      <c r="S78" s="15" t="n">
        <v>79</v>
      </c>
      <c r="T78" s="15" t="n">
        <v>80</v>
      </c>
      <c r="U78" s="15"/>
      <c r="V78" s="15" t="s">
        <v>336</v>
      </c>
      <c r="W78" s="15" t="n">
        <v>44</v>
      </c>
      <c r="X78" s="15" t="s">
        <v>360</v>
      </c>
      <c r="Y78" s="15" t="s">
        <v>418</v>
      </c>
      <c r="Z78" s="15" t="s">
        <v>315</v>
      </c>
      <c r="AA78" s="15"/>
      <c r="AB78" s="15"/>
      <c r="AC78" s="15"/>
      <c r="AD78" s="15" t="s">
        <v>316</v>
      </c>
      <c r="AE78" s="26"/>
      <c r="AF78" s="27"/>
      <c r="AG78" s="27"/>
      <c r="AH78" s="27"/>
      <c r="AI78" s="26"/>
      <c r="AJ78" s="14" t="str">
        <f aca="false">IF(AE78="","",IF(AND(AE78=M78,ABS(N(AF78)-N(O78))&lt;=0.01,ABS(N(AG78)-N(P78))&lt;=0.01,ABS(N(AH78)-N(Q78))&lt;=0.01),"Y","N"))</f>
        <v/>
      </c>
      <c r="AK78" s="15"/>
      <c r="AL78" s="25"/>
      <c r="AM78" s="14" t="str">
        <f aca="false">IF(OR(AL78="",O78=""),"",IF(ABS(N(AL78)-N(O78))&lt;=0.01,"Y","N"))</f>
        <v/>
      </c>
      <c r="AN78" s="15" t="s">
        <v>11</v>
      </c>
      <c r="AO78" s="14" t="str">
        <f aca="false">IFERROR(INDEX(studies!$L:$L,MATCH($C78,studies!$A:$A,0)),"")</f>
        <v>Y</v>
      </c>
      <c r="AP78" s="14" t="str">
        <f aca="false">IF(AND(M78="REPORTED",V78=""),"출처 누락",IF(AND(M78="NOT_FOUND",AC78=""),"검색범위 누락",IF(F78="ARM",IF(OR(H78="",H78="NA"),"arm 누락","OK"),IF(F78="COMPARISON",IF(OR(I78="",I78="NA"),"비교쌍 누락",IF(OR(G78="",G78="NA"),"analysis_id 누락","OK")),IF(F78="","","OK")))))</f>
        <v>OK</v>
      </c>
      <c r="AQ78" s="13" t="s">
        <v>425</v>
      </c>
    </row>
    <row r="79" customFormat="false" ht="46.25" hidden="false" customHeight="false" outlineLevel="0" collapsed="false">
      <c r="A79" s="15" t="s">
        <v>438</v>
      </c>
      <c r="B79" s="15" t="s">
        <v>151</v>
      </c>
      <c r="C79" s="15" t="s">
        <v>81</v>
      </c>
      <c r="D79" s="15" t="s">
        <v>291</v>
      </c>
      <c r="E79" s="14" t="str">
        <f aca="false">IFERROR(INDEX(field_dictionary!$B:$B,MATCH($D79,field_dictionary!$A:$A,0)),"")</f>
        <v>PK</v>
      </c>
      <c r="F79" s="14" t="str">
        <f aca="false">IFERROR(INDEX(field_dictionary!$C:$C,MATCH($D79,field_dictionary!$A:$A,0)),"")</f>
        <v>COMPARISON</v>
      </c>
      <c r="G79" s="15" t="s">
        <v>154</v>
      </c>
      <c r="H79" s="15" t="s">
        <v>155</v>
      </c>
      <c r="I79" s="15" t="s">
        <v>265</v>
      </c>
      <c r="J79" s="15" t="s">
        <v>233</v>
      </c>
      <c r="K79" s="15"/>
      <c r="L79" s="15" t="s">
        <v>171</v>
      </c>
      <c r="M79" s="15" t="s">
        <v>62</v>
      </c>
      <c r="N79" s="15" t="s">
        <v>292</v>
      </c>
      <c r="O79" s="25"/>
      <c r="P79" s="25"/>
      <c r="Q79" s="25"/>
      <c r="R79" s="15"/>
      <c r="S79" s="15"/>
      <c r="T79" s="15"/>
      <c r="U79" s="15"/>
      <c r="V79" s="15" t="s">
        <v>336</v>
      </c>
      <c r="W79" s="15" t="n">
        <v>44</v>
      </c>
      <c r="X79" s="15" t="s">
        <v>360</v>
      </c>
      <c r="Y79" s="15" t="s">
        <v>361</v>
      </c>
      <c r="Z79" s="15" t="s">
        <v>163</v>
      </c>
      <c r="AA79" s="15" t="s">
        <v>439</v>
      </c>
      <c r="AB79" s="15"/>
      <c r="AC79" s="15"/>
      <c r="AD79" s="15" t="s">
        <v>177</v>
      </c>
      <c r="AE79" s="26"/>
      <c r="AF79" s="27"/>
      <c r="AG79" s="27"/>
      <c r="AH79" s="27"/>
      <c r="AI79" s="26"/>
      <c r="AJ79" s="14" t="str">
        <f aca="false">IF(AE79="","",IF(AND(AE79=M79,ABS(N(AF79)-N(O79))&lt;=0.01,ABS(N(AG79)-N(P79))&lt;=0.01,ABS(N(AH79)-N(Q79))&lt;=0.01),"Y","N"))</f>
        <v/>
      </c>
      <c r="AK79" s="15"/>
      <c r="AL79" s="25"/>
      <c r="AM79" s="14" t="str">
        <f aca="false">IF(OR(AL79="",O79=""),"",IF(ABS(N(AL79)-N(O79))&lt;=0.01,"Y","N"))</f>
        <v/>
      </c>
      <c r="AN79" s="15" t="s">
        <v>11</v>
      </c>
      <c r="AO79" s="14" t="str">
        <f aca="false">IFERROR(INDEX(studies!$L:$L,MATCH($C79,studies!$A:$A,0)),"")</f>
        <v>Y</v>
      </c>
      <c r="AP79" s="14" t="str">
        <f aca="false">IF(AND(M79="REPORTED",V79=""),"출처 누락",IF(AND(M79="NOT_FOUND",AC79=""),"검색범위 누락",IF(F79="ARM",IF(OR(H79="",H79="NA"),"arm 누락","OK"),IF(F79="COMPARISON",IF(OR(I79="",I79="NA"),"비교쌍 누락",IF(OR(G79="",G79="NA"),"analysis_id 누락","OK")),IF(F79="","","OK")))))</f>
        <v>OK</v>
      </c>
      <c r="AQ79" s="15"/>
    </row>
    <row r="80" customFormat="false" ht="46.25" hidden="false" customHeight="false" outlineLevel="0" collapsed="false">
      <c r="A80" s="15" t="s">
        <v>440</v>
      </c>
      <c r="B80" s="15" t="s">
        <v>151</v>
      </c>
      <c r="C80" s="15" t="s">
        <v>81</v>
      </c>
      <c r="D80" s="15" t="s">
        <v>291</v>
      </c>
      <c r="E80" s="14" t="str">
        <f aca="false">IFERROR(INDEX(field_dictionary!$B:$B,MATCH($D80,field_dictionary!$A:$A,0)),"")</f>
        <v>PK</v>
      </c>
      <c r="F80" s="14" t="str">
        <f aca="false">IFERROR(INDEX(field_dictionary!$C:$C,MATCH($D80,field_dictionary!$A:$A,0)),"")</f>
        <v>COMPARISON</v>
      </c>
      <c r="G80" s="15" t="s">
        <v>154</v>
      </c>
      <c r="H80" s="15" t="s">
        <v>155</v>
      </c>
      <c r="I80" s="15" t="s">
        <v>275</v>
      </c>
      <c r="J80" s="15" t="s">
        <v>233</v>
      </c>
      <c r="K80" s="15"/>
      <c r="L80" s="15" t="s">
        <v>171</v>
      </c>
      <c r="M80" s="15" t="s">
        <v>62</v>
      </c>
      <c r="N80" s="15" t="s">
        <v>292</v>
      </c>
      <c r="O80" s="25"/>
      <c r="P80" s="25"/>
      <c r="Q80" s="25"/>
      <c r="R80" s="15"/>
      <c r="S80" s="15"/>
      <c r="T80" s="15"/>
      <c r="U80" s="15"/>
      <c r="V80" s="15" t="s">
        <v>336</v>
      </c>
      <c r="W80" s="15" t="n">
        <v>44</v>
      </c>
      <c r="X80" s="15" t="s">
        <v>360</v>
      </c>
      <c r="Y80" s="15" t="s">
        <v>361</v>
      </c>
      <c r="Z80" s="15" t="s">
        <v>163</v>
      </c>
      <c r="AA80" s="15" t="s">
        <v>439</v>
      </c>
      <c r="AB80" s="15"/>
      <c r="AC80" s="15"/>
      <c r="AD80" s="15" t="s">
        <v>177</v>
      </c>
      <c r="AE80" s="26"/>
      <c r="AF80" s="27"/>
      <c r="AG80" s="27"/>
      <c r="AH80" s="27"/>
      <c r="AI80" s="26"/>
      <c r="AJ80" s="14" t="str">
        <f aca="false">IF(AE80="","",IF(AND(AE80=M80,ABS(N(AF80)-N(O80))&lt;=0.01,ABS(N(AG80)-N(P80))&lt;=0.01,ABS(N(AH80)-N(Q80))&lt;=0.01),"Y","N"))</f>
        <v/>
      </c>
      <c r="AK80" s="15"/>
      <c r="AL80" s="25"/>
      <c r="AM80" s="14" t="str">
        <f aca="false">IF(OR(AL80="",O80=""),"",IF(ABS(N(AL80)-N(O80))&lt;=0.01,"Y","N"))</f>
        <v/>
      </c>
      <c r="AN80" s="15" t="s">
        <v>11</v>
      </c>
      <c r="AO80" s="14" t="str">
        <f aca="false">IFERROR(INDEX(studies!$L:$L,MATCH($C80,studies!$A:$A,0)),"")</f>
        <v>Y</v>
      </c>
      <c r="AP80" s="14" t="str">
        <f aca="false">IF(AND(M80="REPORTED",V80=""),"출처 누락",IF(AND(M80="NOT_FOUND",AC80=""),"검색범위 누락",IF(F80="ARM",IF(OR(H80="",H80="NA"),"arm 누락","OK"),IF(F80="COMPARISON",IF(OR(I80="",I80="NA"),"비교쌍 누락",IF(OR(G80="",G80="NA"),"analysis_id 누락","OK")),IF(F80="","","OK")))))</f>
        <v>OK</v>
      </c>
      <c r="AQ80" s="15"/>
    </row>
    <row r="81" customFormat="false" ht="46.25" hidden="false" customHeight="false" outlineLevel="0" collapsed="false">
      <c r="A81" s="15" t="s">
        <v>441</v>
      </c>
      <c r="B81" s="15" t="s">
        <v>151</v>
      </c>
      <c r="C81" s="15" t="s">
        <v>81</v>
      </c>
      <c r="D81" s="15" t="s">
        <v>291</v>
      </c>
      <c r="E81" s="14" t="str">
        <f aca="false">IFERROR(INDEX(field_dictionary!$B:$B,MATCH($D81,field_dictionary!$A:$A,0)),"")</f>
        <v>PK</v>
      </c>
      <c r="F81" s="14" t="str">
        <f aca="false">IFERROR(INDEX(field_dictionary!$C:$C,MATCH($D81,field_dictionary!$A:$A,0)),"")</f>
        <v>COMPARISON</v>
      </c>
      <c r="G81" s="15" t="s">
        <v>154</v>
      </c>
      <c r="H81" s="15" t="s">
        <v>155</v>
      </c>
      <c r="I81" s="15" t="s">
        <v>423</v>
      </c>
      <c r="J81" s="15" t="s">
        <v>233</v>
      </c>
      <c r="K81" s="15"/>
      <c r="L81" s="15" t="s">
        <v>171</v>
      </c>
      <c r="M81" s="15" t="s">
        <v>62</v>
      </c>
      <c r="N81" s="15" t="s">
        <v>292</v>
      </c>
      <c r="O81" s="25"/>
      <c r="P81" s="25"/>
      <c r="Q81" s="25"/>
      <c r="R81" s="15"/>
      <c r="S81" s="15"/>
      <c r="T81" s="15"/>
      <c r="U81" s="15"/>
      <c r="V81" s="15" t="s">
        <v>336</v>
      </c>
      <c r="W81" s="15" t="n">
        <v>44</v>
      </c>
      <c r="X81" s="15" t="s">
        <v>360</v>
      </c>
      <c r="Y81" s="15" t="s">
        <v>361</v>
      </c>
      <c r="Z81" s="15" t="s">
        <v>163</v>
      </c>
      <c r="AA81" s="15" t="s">
        <v>439</v>
      </c>
      <c r="AB81" s="15"/>
      <c r="AC81" s="15"/>
      <c r="AD81" s="15" t="s">
        <v>177</v>
      </c>
      <c r="AE81" s="26"/>
      <c r="AF81" s="27"/>
      <c r="AG81" s="27"/>
      <c r="AH81" s="27"/>
      <c r="AI81" s="26"/>
      <c r="AJ81" s="14" t="str">
        <f aca="false">IF(AE81="","",IF(AND(AE81=M81,ABS(N(AF81)-N(O81))&lt;=0.01,ABS(N(AG81)-N(P81))&lt;=0.01,ABS(N(AH81)-N(Q81))&lt;=0.01),"Y","N"))</f>
        <v/>
      </c>
      <c r="AK81" s="15"/>
      <c r="AL81" s="25"/>
      <c r="AM81" s="14" t="str">
        <f aca="false">IF(OR(AL81="",O81=""),"",IF(ABS(N(AL81)-N(O81))&lt;=0.01,"Y","N"))</f>
        <v/>
      </c>
      <c r="AN81" s="15" t="s">
        <v>11</v>
      </c>
      <c r="AO81" s="14" t="str">
        <f aca="false">IFERROR(INDEX(studies!$L:$L,MATCH($C81,studies!$A:$A,0)),"")</f>
        <v>Y</v>
      </c>
      <c r="AP81" s="14" t="str">
        <f aca="false">IF(AND(M81="REPORTED",V81=""),"출처 누락",IF(AND(M81="NOT_FOUND",AC81=""),"검색범위 누락",IF(F81="ARM",IF(OR(H81="",H81="NA"),"arm 누락","OK"),IF(F81="COMPARISON",IF(OR(I81="",I81="NA"),"비교쌍 누락",IF(OR(G81="",G81="NA"),"analysis_id 누락","OK")),IF(F81="","","OK")))))</f>
        <v>OK</v>
      </c>
      <c r="AQ81" s="15"/>
    </row>
    <row r="82" customFormat="false" ht="35.05" hidden="false" customHeight="false" outlineLevel="0" collapsed="false">
      <c r="A82" s="15" t="s">
        <v>442</v>
      </c>
      <c r="B82" s="15" t="s">
        <v>443</v>
      </c>
      <c r="C82" s="15" t="s">
        <v>82</v>
      </c>
      <c r="D82" s="15" t="s">
        <v>170</v>
      </c>
      <c r="E82" s="14" t="str">
        <f aca="false">IFERROR(INDEX(field_dictionary!$B:$B,MATCH($D82,field_dictionary!$A:$A,0)),"")</f>
        <v>DESIGN</v>
      </c>
      <c r="F82" s="14" t="str">
        <f aca="false">IFERROR(INDEX(field_dictionary!$C:$C,MATCH($D82,field_dictionary!$A:$A,0)),"")</f>
        <v>STUDY</v>
      </c>
      <c r="G82" s="15" t="s">
        <v>155</v>
      </c>
      <c r="H82" s="15" t="s">
        <v>155</v>
      </c>
      <c r="I82" s="15" t="s">
        <v>155</v>
      </c>
      <c r="J82" s="15" t="s">
        <v>155</v>
      </c>
      <c r="K82" s="15"/>
      <c r="L82" s="15" t="s">
        <v>171</v>
      </c>
      <c r="M82" s="15" t="s">
        <v>62</v>
      </c>
      <c r="N82" s="15" t="s">
        <v>444</v>
      </c>
      <c r="O82" s="25" t="n">
        <v>1</v>
      </c>
      <c r="P82" s="25"/>
      <c r="Q82" s="25"/>
      <c r="R82" s="15"/>
      <c r="S82" s="15"/>
      <c r="T82" s="15"/>
      <c r="U82" s="15"/>
      <c r="V82" s="15" t="s">
        <v>445</v>
      </c>
      <c r="W82" s="15" t="n">
        <v>31</v>
      </c>
      <c r="X82" s="15" t="s">
        <v>446</v>
      </c>
      <c r="Y82" s="15" t="s">
        <v>447</v>
      </c>
      <c r="Z82" s="15" t="s">
        <v>163</v>
      </c>
      <c r="AA82" s="15" t="s">
        <v>448</v>
      </c>
      <c r="AB82" s="15"/>
      <c r="AC82" s="15"/>
      <c r="AD82" s="15" t="s">
        <v>177</v>
      </c>
      <c r="AE82" s="26"/>
      <c r="AF82" s="27"/>
      <c r="AG82" s="27"/>
      <c r="AH82" s="27"/>
      <c r="AI82" s="26"/>
      <c r="AJ82" s="14" t="str">
        <f aca="false">IF(AE82="","",IF(AND(AE82=M82,ABS(N(AF82)-N(O82))&lt;=0.01,ABS(N(AG82)-N(P82))&lt;=0.01,ABS(N(AH82)-N(Q82))&lt;=0.01),"Y","N"))</f>
        <v/>
      </c>
      <c r="AK82" s="15"/>
      <c r="AL82" s="25"/>
      <c r="AM82" s="14" t="str">
        <f aca="false">IF(OR(AL82="",O82=""),"",IF(ABS(N(AL82)-N(O82))&lt;=0.01,"Y","N"))</f>
        <v/>
      </c>
      <c r="AN82" s="15" t="s">
        <v>11</v>
      </c>
      <c r="AO82" s="14" t="str">
        <f aca="false">IFERROR(INDEX(studies!$L:$L,MATCH($C82,studies!$A:$A,0)),"")</f>
        <v>Y</v>
      </c>
      <c r="AP82" s="14" t="str">
        <f aca="false">IF(AND(M82="REPORTED",V82=""),"출처 누락",IF(AND(M82="NOT_FOUND",AC82=""),"검색범위 누락",IF(F82="ARM",IF(OR(H82="",H82="NA"),"arm 누락","OK"),IF(F82="COMPARISON",IF(OR(I82="",I82="NA"),"비교쌍 누락",IF(OR(G82="",G82="NA"),"analysis_id 누락","OK")),IF(F82="","","OK")))))</f>
        <v>OK</v>
      </c>
      <c r="AQ82" s="15"/>
    </row>
    <row r="83" customFormat="false" ht="23.85" hidden="false" customHeight="false" outlineLevel="0" collapsed="false">
      <c r="A83" s="15" t="s">
        <v>449</v>
      </c>
      <c r="B83" s="15" t="s">
        <v>443</v>
      </c>
      <c r="C83" s="15" t="s">
        <v>82</v>
      </c>
      <c r="D83" s="15" t="s">
        <v>179</v>
      </c>
      <c r="E83" s="14" t="str">
        <f aca="false">IFERROR(INDEX(field_dictionary!$B:$B,MATCH($D83,field_dictionary!$A:$A,0)),"")</f>
        <v>DESIGN</v>
      </c>
      <c r="F83" s="14" t="str">
        <f aca="false">IFERROR(INDEX(field_dictionary!$C:$C,MATCH($D83,field_dictionary!$A:$A,0)),"")</f>
        <v>STUDY</v>
      </c>
      <c r="G83" s="15" t="s">
        <v>155</v>
      </c>
      <c r="H83" s="15" t="s">
        <v>155</v>
      </c>
      <c r="I83" s="15" t="s">
        <v>155</v>
      </c>
      <c r="J83" s="15" t="s">
        <v>155</v>
      </c>
      <c r="K83" s="15"/>
      <c r="L83" s="15" t="s">
        <v>171</v>
      </c>
      <c r="M83" s="15" t="s">
        <v>62</v>
      </c>
      <c r="N83" s="15" t="s">
        <v>450</v>
      </c>
      <c r="O83" s="25"/>
      <c r="P83" s="25"/>
      <c r="Q83" s="25"/>
      <c r="R83" s="15"/>
      <c r="S83" s="15"/>
      <c r="T83" s="15"/>
      <c r="U83" s="15"/>
      <c r="V83" s="15" t="s">
        <v>445</v>
      </c>
      <c r="W83" s="15" t="n">
        <v>31</v>
      </c>
      <c r="X83" s="15" t="s">
        <v>446</v>
      </c>
      <c r="Y83" s="15" t="s">
        <v>447</v>
      </c>
      <c r="Z83" s="15" t="s">
        <v>163</v>
      </c>
      <c r="AA83" s="15" t="s">
        <v>451</v>
      </c>
      <c r="AB83" s="15"/>
      <c r="AC83" s="15"/>
      <c r="AD83" s="15" t="s">
        <v>177</v>
      </c>
      <c r="AE83" s="26"/>
      <c r="AF83" s="27"/>
      <c r="AG83" s="27"/>
      <c r="AH83" s="27"/>
      <c r="AI83" s="26"/>
      <c r="AJ83" s="14" t="str">
        <f aca="false">IF(AE83="","",IF(AND(AE83=M83,ABS(N(AF83)-N(O83))&lt;=0.01,ABS(N(AG83)-N(P83))&lt;=0.01,ABS(N(AH83)-N(Q83))&lt;=0.01),"Y","N"))</f>
        <v/>
      </c>
      <c r="AK83" s="15"/>
      <c r="AL83" s="25"/>
      <c r="AM83" s="14" t="str">
        <f aca="false">IF(OR(AL83="",O83=""),"",IF(ABS(N(AL83)-N(O83))&lt;=0.01,"Y","N"))</f>
        <v/>
      </c>
      <c r="AN83" s="15" t="s">
        <v>11</v>
      </c>
      <c r="AO83" s="14" t="str">
        <f aca="false">IFERROR(INDEX(studies!$L:$L,MATCH($C83,studies!$A:$A,0)),"")</f>
        <v>Y</v>
      </c>
      <c r="AP83" s="14" t="str">
        <f aca="false">IF(AND(M83="REPORTED",V83=""),"출처 누락",IF(AND(M83="NOT_FOUND",AC83=""),"검색범위 누락",IF(F83="ARM",IF(OR(H83="",H83="NA"),"arm 누락","OK"),IF(F83="COMPARISON",IF(OR(I83="",I83="NA"),"비교쌍 누락",IF(OR(G83="",G83="NA"),"analysis_id 누락","OK")),IF(F83="","","OK")))))</f>
        <v>OK</v>
      </c>
      <c r="AQ83" s="15"/>
    </row>
    <row r="84" customFormat="false" ht="49.25" hidden="false" customHeight="false" outlineLevel="0" collapsed="false">
      <c r="A84" s="15" t="s">
        <v>452</v>
      </c>
      <c r="B84" s="15" t="s">
        <v>443</v>
      </c>
      <c r="C84" s="15" t="s">
        <v>82</v>
      </c>
      <c r="D84" s="15" t="s">
        <v>185</v>
      </c>
      <c r="E84" s="14" t="str">
        <f aca="false">IFERROR(INDEX(field_dictionary!$B:$B,MATCH($D84,field_dictionary!$A:$A,0)),"")</f>
        <v>DESIGN</v>
      </c>
      <c r="F84" s="14" t="str">
        <f aca="false">IFERROR(INDEX(field_dictionary!$C:$C,MATCH($D84,field_dictionary!$A:$A,0)),"")</f>
        <v>STUDY</v>
      </c>
      <c r="G84" s="15" t="s">
        <v>155</v>
      </c>
      <c r="H84" s="15" t="s">
        <v>155</v>
      </c>
      <c r="I84" s="15" t="s">
        <v>155</v>
      </c>
      <c r="J84" s="15" t="s">
        <v>155</v>
      </c>
      <c r="K84" s="15"/>
      <c r="L84" s="15" t="s">
        <v>171</v>
      </c>
      <c r="M84" s="15" t="s">
        <v>62</v>
      </c>
      <c r="N84" s="15" t="s">
        <v>453</v>
      </c>
      <c r="O84" s="25"/>
      <c r="P84" s="25"/>
      <c r="Q84" s="25"/>
      <c r="R84" s="15"/>
      <c r="S84" s="15"/>
      <c r="T84" s="15"/>
      <c r="U84" s="15"/>
      <c r="V84" s="15" t="s">
        <v>445</v>
      </c>
      <c r="W84" s="15" t="n">
        <v>31</v>
      </c>
      <c r="X84" s="15" t="s">
        <v>446</v>
      </c>
      <c r="Y84" s="15" t="s">
        <v>447</v>
      </c>
      <c r="Z84" s="15" t="s">
        <v>163</v>
      </c>
      <c r="AA84" s="15" t="s">
        <v>448</v>
      </c>
      <c r="AB84" s="15"/>
      <c r="AC84" s="15"/>
      <c r="AD84" s="15" t="s">
        <v>177</v>
      </c>
      <c r="AE84" s="26"/>
      <c r="AF84" s="27"/>
      <c r="AG84" s="27"/>
      <c r="AH84" s="27"/>
      <c r="AI84" s="26"/>
      <c r="AJ84" s="14" t="str">
        <f aca="false">IF(AE84="","",IF(AND(AE84=M84,ABS(N(AF84)-N(O84))&lt;=0.01,ABS(N(AG84)-N(P84))&lt;=0.01,ABS(N(AH84)-N(Q84))&lt;=0.01),"Y","N"))</f>
        <v/>
      </c>
      <c r="AK84" s="15"/>
      <c r="AL84" s="25"/>
      <c r="AM84" s="14" t="str">
        <f aca="false">IF(OR(AL84="",O84=""),"",IF(ABS(N(AL84)-N(O84))&lt;=0.01,"Y","N"))</f>
        <v/>
      </c>
      <c r="AN84" s="15" t="s">
        <v>11</v>
      </c>
      <c r="AO84" s="14" t="str">
        <f aca="false">IFERROR(INDEX(studies!$L:$L,MATCH($C84,studies!$A:$A,0)),"")</f>
        <v>Y</v>
      </c>
      <c r="AP84" s="14" t="str">
        <f aca="false">IF(AND(M84="REPORTED",V84=""),"출처 누락",IF(AND(M84="NOT_FOUND",AC84=""),"검색범위 누락",IF(F84="ARM",IF(OR(H84="",H84="NA"),"arm 누락","OK"),IF(F84="COMPARISON",IF(OR(I84="",I84="NA"),"비교쌍 누락",IF(OR(G84="",G84="NA"),"analysis_id 누락","OK")),IF(F84="","","OK")))))</f>
        <v>OK</v>
      </c>
      <c r="AQ84" s="15"/>
    </row>
    <row r="85" customFormat="false" ht="35.05" hidden="false" customHeight="false" outlineLevel="0" collapsed="false">
      <c r="A85" s="15" t="s">
        <v>454</v>
      </c>
      <c r="B85" s="15" t="s">
        <v>443</v>
      </c>
      <c r="C85" s="15" t="s">
        <v>82</v>
      </c>
      <c r="D85" s="15" t="s">
        <v>189</v>
      </c>
      <c r="E85" s="14" t="str">
        <f aca="false">IFERROR(INDEX(field_dictionary!$B:$B,MATCH($D85,field_dictionary!$A:$A,0)),"")</f>
        <v>DESIGN</v>
      </c>
      <c r="F85" s="14" t="str">
        <f aca="false">IFERROR(INDEX(field_dictionary!$C:$C,MATCH($D85,field_dictionary!$A:$A,0)),"")</f>
        <v>STUDY</v>
      </c>
      <c r="G85" s="15" t="s">
        <v>155</v>
      </c>
      <c r="H85" s="15" t="s">
        <v>155</v>
      </c>
      <c r="I85" s="15" t="s">
        <v>155</v>
      </c>
      <c r="J85" s="15" t="s">
        <v>155</v>
      </c>
      <c r="K85" s="15"/>
      <c r="L85" s="15" t="s">
        <v>171</v>
      </c>
      <c r="M85" s="15" t="s">
        <v>62</v>
      </c>
      <c r="N85" s="15" t="s">
        <v>190</v>
      </c>
      <c r="O85" s="25" t="n">
        <v>45</v>
      </c>
      <c r="P85" s="25"/>
      <c r="Q85" s="25"/>
      <c r="R85" s="15" t="s">
        <v>191</v>
      </c>
      <c r="S85" s="15"/>
      <c r="T85" s="15"/>
      <c r="U85" s="15"/>
      <c r="V85" s="15" t="s">
        <v>445</v>
      </c>
      <c r="W85" s="15" t="n">
        <v>31</v>
      </c>
      <c r="X85" s="15" t="s">
        <v>446</v>
      </c>
      <c r="Y85" s="15" t="s">
        <v>447</v>
      </c>
      <c r="Z85" s="15" t="s">
        <v>163</v>
      </c>
      <c r="AA85" s="15" t="s">
        <v>455</v>
      </c>
      <c r="AB85" s="15"/>
      <c r="AC85" s="15"/>
      <c r="AD85" s="15" t="s">
        <v>177</v>
      </c>
      <c r="AE85" s="26"/>
      <c r="AF85" s="27"/>
      <c r="AG85" s="27"/>
      <c r="AH85" s="27"/>
      <c r="AI85" s="26"/>
      <c r="AJ85" s="14" t="str">
        <f aca="false">IF(AE85="","",IF(AND(AE85=M85,ABS(N(AF85)-N(O85))&lt;=0.01,ABS(N(AG85)-N(P85))&lt;=0.01,ABS(N(AH85)-N(Q85))&lt;=0.01),"Y","N"))</f>
        <v/>
      </c>
      <c r="AK85" s="15"/>
      <c r="AL85" s="25"/>
      <c r="AM85" s="14" t="str">
        <f aca="false">IF(OR(AL85="",O85=""),"",IF(ABS(N(AL85)-N(O85))&lt;=0.01,"Y","N"))</f>
        <v/>
      </c>
      <c r="AN85" s="15" t="s">
        <v>11</v>
      </c>
      <c r="AO85" s="14" t="str">
        <f aca="false">IFERROR(INDEX(studies!$L:$L,MATCH($C85,studies!$A:$A,0)),"")</f>
        <v>Y</v>
      </c>
      <c r="AP85" s="14" t="str">
        <f aca="false">IF(AND(M85="REPORTED",V85=""),"출처 누락",IF(AND(M85="NOT_FOUND",AC85=""),"검색범위 누락",IF(F85="ARM",IF(OR(H85="",H85="NA"),"arm 누락","OK"),IF(F85="COMPARISON",IF(OR(I85="",I85="NA"),"비교쌍 누락",IF(OR(G85="",G85="NA"),"analysis_id 누락","OK")),IF(F85="","","OK")))))</f>
        <v>OK</v>
      </c>
      <c r="AQ85" s="15"/>
    </row>
    <row r="86" customFormat="false" ht="23.85" hidden="false" customHeight="false" outlineLevel="0" collapsed="false">
      <c r="A86" s="15" t="s">
        <v>456</v>
      </c>
      <c r="B86" s="15" t="s">
        <v>443</v>
      </c>
      <c r="C86" s="15" t="s">
        <v>82</v>
      </c>
      <c r="D86" s="15" t="s">
        <v>196</v>
      </c>
      <c r="E86" s="14" t="str">
        <f aca="false">IFERROR(INDEX(field_dictionary!$B:$B,MATCH($D86,field_dictionary!$A:$A,0)),"")</f>
        <v>DESIGN</v>
      </c>
      <c r="F86" s="14" t="str">
        <f aca="false">IFERROR(INDEX(field_dictionary!$C:$C,MATCH($D86,field_dictionary!$A:$A,0)),"")</f>
        <v>STUDY</v>
      </c>
      <c r="G86" s="15" t="s">
        <v>155</v>
      </c>
      <c r="H86" s="15" t="s">
        <v>155</v>
      </c>
      <c r="I86" s="15" t="s">
        <v>155</v>
      </c>
      <c r="J86" s="15" t="s">
        <v>155</v>
      </c>
      <c r="K86" s="15"/>
      <c r="L86" s="15" t="s">
        <v>171</v>
      </c>
      <c r="M86" s="15" t="s">
        <v>62</v>
      </c>
      <c r="N86" s="15" t="s">
        <v>457</v>
      </c>
      <c r="O86" s="25"/>
      <c r="P86" s="25"/>
      <c r="Q86" s="25"/>
      <c r="R86" s="15"/>
      <c r="S86" s="15"/>
      <c r="T86" s="15"/>
      <c r="U86" s="15"/>
      <c r="V86" s="15" t="s">
        <v>445</v>
      </c>
      <c r="W86" s="15" t="n">
        <v>31</v>
      </c>
      <c r="X86" s="15" t="s">
        <v>446</v>
      </c>
      <c r="Y86" s="15" t="s">
        <v>447</v>
      </c>
      <c r="Z86" s="15" t="s">
        <v>163</v>
      </c>
      <c r="AA86" s="15" t="s">
        <v>458</v>
      </c>
      <c r="AB86" s="15"/>
      <c r="AC86" s="15"/>
      <c r="AD86" s="15" t="s">
        <v>177</v>
      </c>
      <c r="AE86" s="26"/>
      <c r="AF86" s="27"/>
      <c r="AG86" s="27"/>
      <c r="AH86" s="27"/>
      <c r="AI86" s="26"/>
      <c r="AJ86" s="14" t="str">
        <f aca="false">IF(AE86="","",IF(AND(AE86=M86,ABS(N(AF86)-N(O86))&lt;=0.01,ABS(N(AG86)-N(P86))&lt;=0.01,ABS(N(AH86)-N(Q86))&lt;=0.01),"Y","N"))</f>
        <v/>
      </c>
      <c r="AK86" s="15"/>
      <c r="AL86" s="25"/>
      <c r="AM86" s="14" t="str">
        <f aca="false">IF(OR(AL86="",O86=""),"",IF(ABS(N(AL86)-N(O86))&lt;=0.01,"Y","N"))</f>
        <v/>
      </c>
      <c r="AN86" s="15" t="s">
        <v>11</v>
      </c>
      <c r="AO86" s="14" t="str">
        <f aca="false">IFERROR(INDEX(studies!$L:$L,MATCH($C86,studies!$A:$A,0)),"")</f>
        <v>Y</v>
      </c>
      <c r="AP86" s="14" t="str">
        <f aca="false">IF(AND(M86="REPORTED",V86=""),"출처 누락",IF(AND(M86="NOT_FOUND",AC86=""),"검색범위 누락",IF(F86="ARM",IF(OR(H86="",H86="NA"),"arm 누락","OK"),IF(F86="COMPARISON",IF(OR(I86="",I86="NA"),"비교쌍 누락",IF(OR(G86="",G86="NA"),"analysis_id 누락","OK")),IF(F86="","","OK")))))</f>
        <v>OK</v>
      </c>
      <c r="AQ86" s="15"/>
    </row>
    <row r="87" customFormat="false" ht="46.25" hidden="false" customHeight="false" outlineLevel="0" collapsed="false">
      <c r="A87" s="15" t="s">
        <v>459</v>
      </c>
      <c r="B87" s="15" t="s">
        <v>443</v>
      </c>
      <c r="C87" s="15" t="s">
        <v>82</v>
      </c>
      <c r="D87" s="15" t="s">
        <v>200</v>
      </c>
      <c r="E87" s="14" t="str">
        <f aca="false">IFERROR(INDEX(field_dictionary!$B:$B,MATCH($D87,field_dictionary!$A:$A,0)),"")</f>
        <v>DESIGN</v>
      </c>
      <c r="F87" s="14" t="str">
        <f aca="false">IFERROR(INDEX(field_dictionary!$C:$C,MATCH($D87,field_dictionary!$A:$A,0)),"")</f>
        <v>STUDY</v>
      </c>
      <c r="G87" s="15" t="s">
        <v>155</v>
      </c>
      <c r="H87" s="15" t="s">
        <v>155</v>
      </c>
      <c r="I87" s="15" t="s">
        <v>155</v>
      </c>
      <c r="J87" s="15" t="s">
        <v>155</v>
      </c>
      <c r="K87" s="15"/>
      <c r="L87" s="15" t="s">
        <v>171</v>
      </c>
      <c r="M87" s="15" t="s">
        <v>62</v>
      </c>
      <c r="N87" s="15" t="s">
        <v>460</v>
      </c>
      <c r="O87" s="25"/>
      <c r="P87" s="25"/>
      <c r="Q87" s="25"/>
      <c r="R87" s="15"/>
      <c r="S87" s="15"/>
      <c r="T87" s="15"/>
      <c r="U87" s="15"/>
      <c r="V87" s="15" t="s">
        <v>445</v>
      </c>
      <c r="W87" s="15" t="n">
        <v>31</v>
      </c>
      <c r="X87" s="15" t="s">
        <v>446</v>
      </c>
      <c r="Y87" s="15" t="s">
        <v>461</v>
      </c>
      <c r="Z87" s="15" t="s">
        <v>163</v>
      </c>
      <c r="AA87" s="15" t="s">
        <v>462</v>
      </c>
      <c r="AB87" s="15"/>
      <c r="AC87" s="15"/>
      <c r="AD87" s="15" t="s">
        <v>177</v>
      </c>
      <c r="AE87" s="26"/>
      <c r="AF87" s="27"/>
      <c r="AG87" s="27"/>
      <c r="AH87" s="27"/>
      <c r="AI87" s="26"/>
      <c r="AJ87" s="14" t="str">
        <f aca="false">IF(AE87="","",IF(AND(AE87=M87,ABS(N(AF87)-N(O87))&lt;=0.01,ABS(N(AG87)-N(P87))&lt;=0.01,ABS(N(AH87)-N(Q87))&lt;=0.01),"Y","N"))</f>
        <v/>
      </c>
      <c r="AK87" s="15"/>
      <c r="AL87" s="25"/>
      <c r="AM87" s="14" t="str">
        <f aca="false">IF(OR(AL87="",O87=""),"",IF(ABS(N(AL87)-N(O87))&lt;=0.01,"Y","N"))</f>
        <v/>
      </c>
      <c r="AN87" s="15" t="s">
        <v>11</v>
      </c>
      <c r="AO87" s="14" t="str">
        <f aca="false">IFERROR(INDEX(studies!$L:$L,MATCH($C87,studies!$A:$A,0)),"")</f>
        <v>Y</v>
      </c>
      <c r="AP87" s="14" t="str">
        <f aca="false">IF(AND(M87="REPORTED",V87=""),"출처 누락",IF(AND(M87="NOT_FOUND",AC87=""),"검색범위 누락",IF(F87="ARM",IF(OR(H87="",H87="NA"),"arm 누락","OK"),IF(F87="COMPARISON",IF(OR(I87="",I87="NA"),"비교쌍 누락",IF(OR(G87="",G87="NA"),"analysis_id 누락","OK")),IF(F87="","","OK")))))</f>
        <v>OK</v>
      </c>
      <c r="AQ87" s="15"/>
    </row>
    <row r="88" customFormat="false" ht="35.05" hidden="false" customHeight="false" outlineLevel="0" collapsed="false">
      <c r="A88" s="15" t="s">
        <v>463</v>
      </c>
      <c r="B88" s="15" t="s">
        <v>443</v>
      </c>
      <c r="C88" s="15" t="s">
        <v>82</v>
      </c>
      <c r="D88" s="15" t="s">
        <v>205</v>
      </c>
      <c r="E88" s="14" t="str">
        <f aca="false">IFERROR(INDEX(field_dictionary!$B:$B,MATCH($D88,field_dictionary!$A:$A,0)),"")</f>
        <v>DESIGN</v>
      </c>
      <c r="F88" s="14" t="str">
        <f aca="false">IFERROR(INDEX(field_dictionary!$C:$C,MATCH($D88,field_dictionary!$A:$A,0)),"")</f>
        <v>STUDY</v>
      </c>
      <c r="G88" s="15" t="s">
        <v>155</v>
      </c>
      <c r="H88" s="15" t="s">
        <v>155</v>
      </c>
      <c r="I88" s="15" t="s">
        <v>155</v>
      </c>
      <c r="J88" s="15" t="s">
        <v>155</v>
      </c>
      <c r="K88" s="15"/>
      <c r="L88" s="15" t="s">
        <v>171</v>
      </c>
      <c r="M88" s="15" t="s">
        <v>62</v>
      </c>
      <c r="N88" s="15" t="s">
        <v>464</v>
      </c>
      <c r="O88" s="25"/>
      <c r="P88" s="25"/>
      <c r="Q88" s="25"/>
      <c r="R88" s="15" t="s">
        <v>160</v>
      </c>
      <c r="S88" s="15"/>
      <c r="T88" s="15"/>
      <c r="U88" s="15"/>
      <c r="V88" s="15" t="s">
        <v>445</v>
      </c>
      <c r="W88" s="15" t="n">
        <v>31</v>
      </c>
      <c r="X88" s="15" t="s">
        <v>446</v>
      </c>
      <c r="Y88" s="15" t="s">
        <v>465</v>
      </c>
      <c r="Z88" s="15" t="s">
        <v>163</v>
      </c>
      <c r="AA88" s="15" t="s">
        <v>466</v>
      </c>
      <c r="AB88" s="15"/>
      <c r="AC88" s="15"/>
      <c r="AD88" s="15" t="s">
        <v>177</v>
      </c>
      <c r="AE88" s="26"/>
      <c r="AF88" s="27"/>
      <c r="AG88" s="27"/>
      <c r="AH88" s="27"/>
      <c r="AI88" s="26"/>
      <c r="AJ88" s="14" t="str">
        <f aca="false">IF(AE88="","",IF(AND(AE88=M88,ABS(N(AF88)-N(O88))&lt;=0.01,ABS(N(AG88)-N(P88))&lt;=0.01,ABS(N(AH88)-N(Q88))&lt;=0.01),"Y","N"))</f>
        <v/>
      </c>
      <c r="AK88" s="15"/>
      <c r="AL88" s="25"/>
      <c r="AM88" s="14" t="str">
        <f aca="false">IF(OR(AL88="",O88=""),"",IF(ABS(N(AL88)-N(O88))&lt;=0.01,"Y","N"))</f>
        <v/>
      </c>
      <c r="AN88" s="15" t="s">
        <v>11</v>
      </c>
      <c r="AO88" s="14" t="str">
        <f aca="false">IFERROR(INDEX(studies!$L:$L,MATCH($C88,studies!$A:$A,0)),"")</f>
        <v>Y</v>
      </c>
      <c r="AP88" s="14" t="str">
        <f aca="false">IF(AND(M88="REPORTED",V88=""),"출처 누락",IF(AND(M88="NOT_FOUND",AC88=""),"검색범위 누락",IF(F88="ARM",IF(OR(H88="",H88="NA"),"arm 누락","OK"),IF(F88="COMPARISON",IF(OR(I88="",I88="NA"),"비교쌍 누락",IF(OR(G88="",G88="NA"),"analysis_id 누락","OK")),IF(F88="","","OK")))))</f>
        <v>OK</v>
      </c>
      <c r="AQ88" s="15"/>
    </row>
    <row r="89" customFormat="false" ht="29.85" hidden="false" customHeight="false" outlineLevel="0" collapsed="false">
      <c r="A89" s="15" t="s">
        <v>467</v>
      </c>
      <c r="B89" s="15" t="s">
        <v>443</v>
      </c>
      <c r="C89" s="15" t="s">
        <v>82</v>
      </c>
      <c r="D89" s="15" t="s">
        <v>212</v>
      </c>
      <c r="E89" s="14" t="str">
        <f aca="false">IFERROR(INDEX(field_dictionary!$B:$B,MATCH($D89,field_dictionary!$A:$A,0)),"")</f>
        <v>IMMUNO</v>
      </c>
      <c r="F89" s="14" t="str">
        <f aca="false">IFERROR(INDEX(field_dictionary!$C:$C,MATCH($D89,field_dictionary!$A:$A,0)),"")</f>
        <v>STUDY</v>
      </c>
      <c r="G89" s="15" t="s">
        <v>155</v>
      </c>
      <c r="H89" s="15" t="s">
        <v>155</v>
      </c>
      <c r="I89" s="15" t="s">
        <v>155</v>
      </c>
      <c r="J89" s="15" t="s">
        <v>155</v>
      </c>
      <c r="K89" s="15"/>
      <c r="L89" s="15" t="s">
        <v>171</v>
      </c>
      <c r="M89" s="15" t="s">
        <v>62</v>
      </c>
      <c r="N89" s="15" t="s">
        <v>468</v>
      </c>
      <c r="O89" s="25"/>
      <c r="P89" s="25"/>
      <c r="Q89" s="25"/>
      <c r="R89" s="15"/>
      <c r="S89" s="15"/>
      <c r="T89" s="15"/>
      <c r="U89" s="15"/>
      <c r="V89" s="15" t="s">
        <v>445</v>
      </c>
      <c r="W89" s="15" t="n">
        <v>30</v>
      </c>
      <c r="X89" s="15" t="s">
        <v>469</v>
      </c>
      <c r="Y89" s="15" t="s">
        <v>470</v>
      </c>
      <c r="Z89" s="15" t="s">
        <v>163</v>
      </c>
      <c r="AA89" s="15" t="s">
        <v>471</v>
      </c>
      <c r="AB89" s="15"/>
      <c r="AC89" s="15"/>
      <c r="AD89" s="15" t="s">
        <v>177</v>
      </c>
      <c r="AE89" s="26"/>
      <c r="AF89" s="27"/>
      <c r="AG89" s="27"/>
      <c r="AH89" s="27"/>
      <c r="AI89" s="26"/>
      <c r="AJ89" s="14" t="str">
        <f aca="false">IF(AE89="","",IF(AND(AE89=M89,ABS(N(AF89)-N(O89))&lt;=0.01,ABS(N(AG89)-N(P89))&lt;=0.01,ABS(N(AH89)-N(Q89))&lt;=0.01),"Y","N"))</f>
        <v/>
      </c>
      <c r="AK89" s="15"/>
      <c r="AL89" s="25"/>
      <c r="AM89" s="14" t="str">
        <f aca="false">IF(OR(AL89="",O89=""),"",IF(ABS(N(AL89)-N(O89))&lt;=0.01,"Y","N"))</f>
        <v/>
      </c>
      <c r="AN89" s="15" t="s">
        <v>11</v>
      </c>
      <c r="AO89" s="14" t="str">
        <f aca="false">IFERROR(INDEX(studies!$L:$L,MATCH($C89,studies!$A:$A,0)),"")</f>
        <v>Y</v>
      </c>
      <c r="AP89" s="14" t="str">
        <f aca="false">IF(AND(M89="REPORTED",V89=""),"출처 누락",IF(AND(M89="NOT_FOUND",AC89=""),"검색범위 누락",IF(F89="ARM",IF(OR(H89="",H89="NA"),"arm 누락","OK"),IF(F89="COMPARISON",IF(OR(I89="",I89="NA"),"비교쌍 누락",IF(OR(G89="",G89="NA"),"analysis_id 누락","OK")),IF(F89="","","OK")))))</f>
        <v>OK</v>
      </c>
      <c r="AQ89" s="15" t="s">
        <v>472</v>
      </c>
    </row>
    <row r="90" customFormat="false" ht="23.85" hidden="false" customHeight="false" outlineLevel="0" collapsed="false">
      <c r="A90" s="15" t="s">
        <v>473</v>
      </c>
      <c r="B90" s="15" t="s">
        <v>443</v>
      </c>
      <c r="C90" s="15" t="s">
        <v>83</v>
      </c>
      <c r="D90" s="15" t="s">
        <v>170</v>
      </c>
      <c r="E90" s="14" t="str">
        <f aca="false">IFERROR(INDEX(field_dictionary!$B:$B,MATCH($D90,field_dictionary!$A:$A,0)),"")</f>
        <v>DESIGN</v>
      </c>
      <c r="F90" s="14" t="str">
        <f aca="false">IFERROR(INDEX(field_dictionary!$C:$C,MATCH($D90,field_dictionary!$A:$A,0)),"")</f>
        <v>STUDY</v>
      </c>
      <c r="G90" s="15" t="s">
        <v>155</v>
      </c>
      <c r="H90" s="15" t="s">
        <v>155</v>
      </c>
      <c r="I90" s="15" t="s">
        <v>155</v>
      </c>
      <c r="J90" s="15" t="s">
        <v>155</v>
      </c>
      <c r="K90" s="15"/>
      <c r="L90" s="15" t="s">
        <v>171</v>
      </c>
      <c r="M90" s="15" t="s">
        <v>62</v>
      </c>
      <c r="N90" s="15" t="s">
        <v>172</v>
      </c>
      <c r="O90" s="25" t="n">
        <v>1</v>
      </c>
      <c r="P90" s="25"/>
      <c r="Q90" s="25"/>
      <c r="R90" s="15"/>
      <c r="S90" s="15"/>
      <c r="T90" s="15"/>
      <c r="U90" s="15"/>
      <c r="V90" s="15" t="s">
        <v>445</v>
      </c>
      <c r="W90" s="15" t="n">
        <v>39</v>
      </c>
      <c r="X90" s="15" t="s">
        <v>474</v>
      </c>
      <c r="Y90" s="15" t="s">
        <v>447</v>
      </c>
      <c r="Z90" s="15" t="s">
        <v>163</v>
      </c>
      <c r="AA90" s="15" t="s">
        <v>475</v>
      </c>
      <c r="AB90" s="15"/>
      <c r="AC90" s="15"/>
      <c r="AD90" s="15" t="s">
        <v>177</v>
      </c>
      <c r="AE90" s="26"/>
      <c r="AF90" s="27"/>
      <c r="AG90" s="27"/>
      <c r="AH90" s="27"/>
      <c r="AI90" s="26"/>
      <c r="AJ90" s="14" t="str">
        <f aca="false">IF(AE90="","",IF(AND(AE90=M90,ABS(N(AF90)-N(O90))&lt;=0.01,ABS(N(AG90)-N(P90))&lt;=0.01,ABS(N(AH90)-N(Q90))&lt;=0.01),"Y","N"))</f>
        <v/>
      </c>
      <c r="AK90" s="15"/>
      <c r="AL90" s="25"/>
      <c r="AM90" s="14" t="str">
        <f aca="false">IF(OR(AL90="",O90=""),"",IF(ABS(N(AL90)-N(O90))&lt;=0.01,"Y","N"))</f>
        <v/>
      </c>
      <c r="AN90" s="15" t="s">
        <v>11</v>
      </c>
      <c r="AO90" s="14" t="str">
        <f aca="false">IFERROR(INDEX(studies!$L:$L,MATCH($C90,studies!$A:$A,0)),"")</f>
        <v>Y</v>
      </c>
      <c r="AP90" s="14" t="str">
        <f aca="false">IF(AND(M90="REPORTED",V90=""),"출처 누락",IF(AND(M90="NOT_FOUND",AC90=""),"검색범위 누락",IF(F90="ARM",IF(OR(H90="",H90="NA"),"arm 누락","OK"),IF(F90="COMPARISON",IF(OR(I90="",I90="NA"),"비교쌍 누락",IF(OR(G90="",G90="NA"),"analysis_id 누락","OK")),IF(F90="","","OK")))))</f>
        <v>OK</v>
      </c>
      <c r="AQ90" s="15"/>
    </row>
    <row r="91" customFormat="false" ht="23.85" hidden="false" customHeight="false" outlineLevel="0" collapsed="false">
      <c r="A91" s="15" t="s">
        <v>476</v>
      </c>
      <c r="B91" s="15" t="s">
        <v>443</v>
      </c>
      <c r="C91" s="15" t="s">
        <v>83</v>
      </c>
      <c r="D91" s="15" t="s">
        <v>179</v>
      </c>
      <c r="E91" s="14" t="str">
        <f aca="false">IFERROR(INDEX(field_dictionary!$B:$B,MATCH($D91,field_dictionary!$A:$A,0)),"")</f>
        <v>DESIGN</v>
      </c>
      <c r="F91" s="14" t="str">
        <f aca="false">IFERROR(INDEX(field_dictionary!$C:$C,MATCH($D91,field_dictionary!$A:$A,0)),"")</f>
        <v>STUDY</v>
      </c>
      <c r="G91" s="15" t="s">
        <v>155</v>
      </c>
      <c r="H91" s="15" t="s">
        <v>155</v>
      </c>
      <c r="I91" s="15" t="s">
        <v>155</v>
      </c>
      <c r="J91" s="15" t="s">
        <v>155</v>
      </c>
      <c r="K91" s="15"/>
      <c r="L91" s="15" t="s">
        <v>171</v>
      </c>
      <c r="M91" s="15" t="s">
        <v>62</v>
      </c>
      <c r="N91" s="15" t="s">
        <v>477</v>
      </c>
      <c r="O91" s="25"/>
      <c r="P91" s="25"/>
      <c r="Q91" s="25"/>
      <c r="R91" s="15"/>
      <c r="S91" s="15"/>
      <c r="T91" s="15"/>
      <c r="U91" s="15"/>
      <c r="V91" s="15" t="s">
        <v>445</v>
      </c>
      <c r="W91" s="15" t="n">
        <v>39</v>
      </c>
      <c r="X91" s="15" t="s">
        <v>474</v>
      </c>
      <c r="Y91" s="15" t="s">
        <v>447</v>
      </c>
      <c r="Z91" s="15" t="s">
        <v>163</v>
      </c>
      <c r="AA91" s="15" t="s">
        <v>478</v>
      </c>
      <c r="AB91" s="15"/>
      <c r="AC91" s="15"/>
      <c r="AD91" s="15" t="s">
        <v>177</v>
      </c>
      <c r="AE91" s="26"/>
      <c r="AF91" s="27"/>
      <c r="AG91" s="27"/>
      <c r="AH91" s="27"/>
      <c r="AI91" s="26"/>
      <c r="AJ91" s="14" t="str">
        <f aca="false">IF(AE91="","",IF(AND(AE91=M91,ABS(N(AF91)-N(O91))&lt;=0.01,ABS(N(AG91)-N(P91))&lt;=0.01,ABS(N(AH91)-N(Q91))&lt;=0.01),"Y","N"))</f>
        <v/>
      </c>
      <c r="AK91" s="15"/>
      <c r="AL91" s="25"/>
      <c r="AM91" s="14" t="str">
        <f aca="false">IF(OR(AL91="",O91=""),"",IF(ABS(N(AL91)-N(O91))&lt;=0.01,"Y","N"))</f>
        <v/>
      </c>
      <c r="AN91" s="15" t="s">
        <v>11</v>
      </c>
      <c r="AO91" s="14" t="str">
        <f aca="false">IFERROR(INDEX(studies!$L:$L,MATCH($C91,studies!$A:$A,0)),"")</f>
        <v>Y</v>
      </c>
      <c r="AP91" s="14" t="str">
        <f aca="false">IF(AND(M91="REPORTED",V91=""),"출처 누락",IF(AND(M91="NOT_FOUND",AC91=""),"검색범위 누락",IF(F91="ARM",IF(OR(H91="",H91="NA"),"arm 누락","OK"),IF(F91="COMPARISON",IF(OR(I91="",I91="NA"),"비교쌍 누락",IF(OR(G91="",G91="NA"),"analysis_id 누락","OK")),IF(F91="","","OK")))))</f>
        <v>OK</v>
      </c>
      <c r="AQ91" s="15"/>
    </row>
    <row r="92" customFormat="false" ht="38.05" hidden="false" customHeight="false" outlineLevel="0" collapsed="false">
      <c r="A92" s="15" t="s">
        <v>479</v>
      </c>
      <c r="B92" s="15" t="s">
        <v>443</v>
      </c>
      <c r="C92" s="15" t="s">
        <v>83</v>
      </c>
      <c r="D92" s="15" t="s">
        <v>185</v>
      </c>
      <c r="E92" s="14" t="str">
        <f aca="false">IFERROR(INDEX(field_dictionary!$B:$B,MATCH($D92,field_dictionary!$A:$A,0)),"")</f>
        <v>DESIGN</v>
      </c>
      <c r="F92" s="14" t="str">
        <f aca="false">IFERROR(INDEX(field_dictionary!$C:$C,MATCH($D92,field_dictionary!$A:$A,0)),"")</f>
        <v>STUDY</v>
      </c>
      <c r="G92" s="15" t="s">
        <v>155</v>
      </c>
      <c r="H92" s="15" t="s">
        <v>155</v>
      </c>
      <c r="I92" s="15" t="s">
        <v>155</v>
      </c>
      <c r="J92" s="15" t="s">
        <v>155</v>
      </c>
      <c r="K92" s="15"/>
      <c r="L92" s="15" t="s">
        <v>171</v>
      </c>
      <c r="M92" s="15" t="s">
        <v>62</v>
      </c>
      <c r="N92" s="15" t="s">
        <v>480</v>
      </c>
      <c r="O92" s="25"/>
      <c r="P92" s="25"/>
      <c r="Q92" s="25"/>
      <c r="R92" s="15"/>
      <c r="S92" s="15"/>
      <c r="T92" s="15"/>
      <c r="U92" s="15"/>
      <c r="V92" s="15" t="s">
        <v>445</v>
      </c>
      <c r="W92" s="15" t="n">
        <v>39</v>
      </c>
      <c r="X92" s="15" t="s">
        <v>474</v>
      </c>
      <c r="Y92" s="15" t="s">
        <v>447</v>
      </c>
      <c r="Z92" s="15" t="s">
        <v>163</v>
      </c>
      <c r="AA92" s="15" t="s">
        <v>475</v>
      </c>
      <c r="AB92" s="15"/>
      <c r="AC92" s="15"/>
      <c r="AD92" s="15" t="s">
        <v>177</v>
      </c>
      <c r="AE92" s="26"/>
      <c r="AF92" s="27"/>
      <c r="AG92" s="27"/>
      <c r="AH92" s="27"/>
      <c r="AI92" s="26"/>
      <c r="AJ92" s="14" t="str">
        <f aca="false">IF(AE92="","",IF(AND(AE92=M92,ABS(N(AF92)-N(O92))&lt;=0.01,ABS(N(AG92)-N(P92))&lt;=0.01,ABS(N(AH92)-N(Q92))&lt;=0.01),"Y","N"))</f>
        <v/>
      </c>
      <c r="AK92" s="15"/>
      <c r="AL92" s="25"/>
      <c r="AM92" s="14" t="str">
        <f aca="false">IF(OR(AL92="",O92=""),"",IF(ABS(N(AL92)-N(O92))&lt;=0.01,"Y","N"))</f>
        <v/>
      </c>
      <c r="AN92" s="15" t="s">
        <v>11</v>
      </c>
      <c r="AO92" s="14" t="str">
        <f aca="false">IFERROR(INDEX(studies!$L:$L,MATCH($C92,studies!$A:$A,0)),"")</f>
        <v>Y</v>
      </c>
      <c r="AP92" s="14" t="str">
        <f aca="false">IF(AND(M92="REPORTED",V92=""),"출처 누락",IF(AND(M92="NOT_FOUND",AC92=""),"검색범위 누락",IF(F92="ARM",IF(OR(H92="",H92="NA"),"arm 누락","OK"),IF(F92="COMPARISON",IF(OR(I92="",I92="NA"),"비교쌍 누락",IF(OR(G92="",G92="NA"),"analysis_id 누락","OK")),IF(F92="","","OK")))))</f>
        <v>OK</v>
      </c>
      <c r="AQ92" s="15"/>
    </row>
    <row r="93" customFormat="false" ht="35.05" hidden="false" customHeight="false" outlineLevel="0" collapsed="false">
      <c r="A93" s="15" t="s">
        <v>481</v>
      </c>
      <c r="B93" s="15" t="s">
        <v>443</v>
      </c>
      <c r="C93" s="15" t="s">
        <v>83</v>
      </c>
      <c r="D93" s="15" t="s">
        <v>189</v>
      </c>
      <c r="E93" s="14" t="str">
        <f aca="false">IFERROR(INDEX(field_dictionary!$B:$B,MATCH($D93,field_dictionary!$A:$A,0)),"")</f>
        <v>DESIGN</v>
      </c>
      <c r="F93" s="14" t="str">
        <f aca="false">IFERROR(INDEX(field_dictionary!$C:$C,MATCH($D93,field_dictionary!$A:$A,0)),"")</f>
        <v>STUDY</v>
      </c>
      <c r="G93" s="15" t="s">
        <v>155</v>
      </c>
      <c r="H93" s="15" t="s">
        <v>155</v>
      </c>
      <c r="I93" s="15" t="s">
        <v>155</v>
      </c>
      <c r="J93" s="15" t="s">
        <v>155</v>
      </c>
      <c r="K93" s="15"/>
      <c r="L93" s="15" t="s">
        <v>171</v>
      </c>
      <c r="M93" s="15" t="s">
        <v>62</v>
      </c>
      <c r="N93" s="15" t="s">
        <v>190</v>
      </c>
      <c r="O93" s="25" t="n">
        <v>45</v>
      </c>
      <c r="P93" s="25"/>
      <c r="Q93" s="25"/>
      <c r="R93" s="15" t="s">
        <v>191</v>
      </c>
      <c r="S93" s="15"/>
      <c r="T93" s="15"/>
      <c r="U93" s="15"/>
      <c r="V93" s="15" t="s">
        <v>445</v>
      </c>
      <c r="W93" s="15" t="n">
        <v>39</v>
      </c>
      <c r="X93" s="15" t="s">
        <v>474</v>
      </c>
      <c r="Y93" s="15" t="s">
        <v>447</v>
      </c>
      <c r="Z93" s="15" t="s">
        <v>163</v>
      </c>
      <c r="AA93" s="15" t="s">
        <v>482</v>
      </c>
      <c r="AB93" s="15"/>
      <c r="AC93" s="15"/>
      <c r="AD93" s="15" t="s">
        <v>177</v>
      </c>
      <c r="AE93" s="26"/>
      <c r="AF93" s="27"/>
      <c r="AG93" s="27"/>
      <c r="AH93" s="27"/>
      <c r="AI93" s="26"/>
      <c r="AJ93" s="14" t="str">
        <f aca="false">IF(AE93="","",IF(AND(AE93=M93,ABS(N(AF93)-N(O93))&lt;=0.01,ABS(N(AG93)-N(P93))&lt;=0.01,ABS(N(AH93)-N(Q93))&lt;=0.01),"Y","N"))</f>
        <v/>
      </c>
      <c r="AK93" s="15"/>
      <c r="AL93" s="25"/>
      <c r="AM93" s="14" t="str">
        <f aca="false">IF(OR(AL93="",O93=""),"",IF(ABS(N(AL93)-N(O93))&lt;=0.01,"Y","N"))</f>
        <v/>
      </c>
      <c r="AN93" s="15" t="s">
        <v>11</v>
      </c>
      <c r="AO93" s="14" t="str">
        <f aca="false">IFERROR(INDEX(studies!$L:$L,MATCH($C93,studies!$A:$A,0)),"")</f>
        <v>Y</v>
      </c>
      <c r="AP93" s="14" t="str">
        <f aca="false">IF(AND(M93="REPORTED",V93=""),"출처 누락",IF(AND(M93="NOT_FOUND",AC93=""),"검색범위 누락",IF(F93="ARM",IF(OR(H93="",H93="NA"),"arm 누락","OK"),IF(F93="COMPARISON",IF(OR(I93="",I93="NA"),"비교쌍 누락",IF(OR(G93="",G93="NA"),"analysis_id 누락","OK")),IF(F93="","","OK")))))</f>
        <v>OK</v>
      </c>
      <c r="AQ93" s="15"/>
    </row>
    <row r="94" customFormat="false" ht="23.85" hidden="false" customHeight="false" outlineLevel="0" collapsed="false">
      <c r="A94" s="15" t="s">
        <v>483</v>
      </c>
      <c r="B94" s="15" t="s">
        <v>443</v>
      </c>
      <c r="C94" s="15" t="s">
        <v>83</v>
      </c>
      <c r="D94" s="15" t="s">
        <v>196</v>
      </c>
      <c r="E94" s="14" t="str">
        <f aca="false">IFERROR(INDEX(field_dictionary!$B:$B,MATCH($D94,field_dictionary!$A:$A,0)),"")</f>
        <v>DESIGN</v>
      </c>
      <c r="F94" s="14" t="str">
        <f aca="false">IFERROR(INDEX(field_dictionary!$C:$C,MATCH($D94,field_dictionary!$A:$A,0)),"")</f>
        <v>STUDY</v>
      </c>
      <c r="G94" s="15" t="s">
        <v>155</v>
      </c>
      <c r="H94" s="15" t="s">
        <v>155</v>
      </c>
      <c r="I94" s="15" t="s">
        <v>155</v>
      </c>
      <c r="J94" s="15" t="s">
        <v>155</v>
      </c>
      <c r="K94" s="15"/>
      <c r="L94" s="15" t="s">
        <v>171</v>
      </c>
      <c r="M94" s="15" t="s">
        <v>62</v>
      </c>
      <c r="N94" s="15" t="s">
        <v>457</v>
      </c>
      <c r="O94" s="25"/>
      <c r="P94" s="25"/>
      <c r="Q94" s="25"/>
      <c r="R94" s="15"/>
      <c r="S94" s="15"/>
      <c r="T94" s="15"/>
      <c r="U94" s="15"/>
      <c r="V94" s="15" t="s">
        <v>445</v>
      </c>
      <c r="W94" s="15" t="n">
        <v>39</v>
      </c>
      <c r="X94" s="15" t="s">
        <v>474</v>
      </c>
      <c r="Y94" s="15" t="s">
        <v>447</v>
      </c>
      <c r="Z94" s="15" t="s">
        <v>163</v>
      </c>
      <c r="AA94" s="15" t="s">
        <v>484</v>
      </c>
      <c r="AB94" s="15"/>
      <c r="AC94" s="15"/>
      <c r="AD94" s="15" t="s">
        <v>177</v>
      </c>
      <c r="AE94" s="26"/>
      <c r="AF94" s="27"/>
      <c r="AG94" s="27"/>
      <c r="AH94" s="27"/>
      <c r="AI94" s="26"/>
      <c r="AJ94" s="14" t="str">
        <f aca="false">IF(AE94="","",IF(AND(AE94=M94,ABS(N(AF94)-N(O94))&lt;=0.01,ABS(N(AG94)-N(P94))&lt;=0.01,ABS(N(AH94)-N(Q94))&lt;=0.01),"Y","N"))</f>
        <v/>
      </c>
      <c r="AK94" s="15"/>
      <c r="AL94" s="25"/>
      <c r="AM94" s="14" t="str">
        <f aca="false">IF(OR(AL94="",O94=""),"",IF(ABS(N(AL94)-N(O94))&lt;=0.01,"Y","N"))</f>
        <v/>
      </c>
      <c r="AN94" s="15" t="s">
        <v>11</v>
      </c>
      <c r="AO94" s="14" t="str">
        <f aca="false">IFERROR(INDEX(studies!$L:$L,MATCH($C94,studies!$A:$A,0)),"")</f>
        <v>Y</v>
      </c>
      <c r="AP94" s="14" t="str">
        <f aca="false">IF(AND(M94="REPORTED",V94=""),"출처 누락",IF(AND(M94="NOT_FOUND",AC94=""),"검색범위 누락",IF(F94="ARM",IF(OR(H94="",H94="NA"),"arm 누락","OK"),IF(F94="COMPARISON",IF(OR(I94="",I94="NA"),"비교쌍 누락",IF(OR(G94="",G94="NA"),"analysis_id 누락","OK")),IF(F94="","","OK")))))</f>
        <v>OK</v>
      </c>
      <c r="AQ94" s="15"/>
    </row>
    <row r="95" customFormat="false" ht="35.05" hidden="false" customHeight="false" outlineLevel="0" collapsed="false">
      <c r="A95" s="15" t="s">
        <v>485</v>
      </c>
      <c r="B95" s="15" t="s">
        <v>443</v>
      </c>
      <c r="C95" s="15" t="s">
        <v>83</v>
      </c>
      <c r="D95" s="15" t="s">
        <v>200</v>
      </c>
      <c r="E95" s="14" t="str">
        <f aca="false">IFERROR(INDEX(field_dictionary!$B:$B,MATCH($D95,field_dictionary!$A:$A,0)),"")</f>
        <v>DESIGN</v>
      </c>
      <c r="F95" s="14" t="str">
        <f aca="false">IFERROR(INDEX(field_dictionary!$C:$C,MATCH($D95,field_dictionary!$A:$A,0)),"")</f>
        <v>STUDY</v>
      </c>
      <c r="G95" s="15" t="s">
        <v>155</v>
      </c>
      <c r="H95" s="15" t="s">
        <v>155</v>
      </c>
      <c r="I95" s="15" t="s">
        <v>155</v>
      </c>
      <c r="J95" s="15" t="s">
        <v>155</v>
      </c>
      <c r="K95" s="15"/>
      <c r="L95" s="15" t="s">
        <v>171</v>
      </c>
      <c r="M95" s="15" t="s">
        <v>62</v>
      </c>
      <c r="N95" s="15" t="s">
        <v>201</v>
      </c>
      <c r="O95" s="25"/>
      <c r="P95" s="25"/>
      <c r="Q95" s="25"/>
      <c r="R95" s="15"/>
      <c r="S95" s="15"/>
      <c r="T95" s="15"/>
      <c r="U95" s="15"/>
      <c r="V95" s="15" t="s">
        <v>445</v>
      </c>
      <c r="W95" s="15" t="n">
        <v>39</v>
      </c>
      <c r="X95" s="15" t="s">
        <v>474</v>
      </c>
      <c r="Y95" s="15" t="s">
        <v>461</v>
      </c>
      <c r="Z95" s="15" t="s">
        <v>163</v>
      </c>
      <c r="AA95" s="15" t="s">
        <v>486</v>
      </c>
      <c r="AB95" s="15"/>
      <c r="AC95" s="15"/>
      <c r="AD95" s="15" t="s">
        <v>177</v>
      </c>
      <c r="AE95" s="26"/>
      <c r="AF95" s="27"/>
      <c r="AG95" s="27"/>
      <c r="AH95" s="27"/>
      <c r="AI95" s="26"/>
      <c r="AJ95" s="14" t="str">
        <f aca="false">IF(AE95="","",IF(AND(AE95=M95,ABS(N(AF95)-N(O95))&lt;=0.01,ABS(N(AG95)-N(P95))&lt;=0.01,ABS(N(AH95)-N(Q95))&lt;=0.01),"Y","N"))</f>
        <v/>
      </c>
      <c r="AK95" s="15"/>
      <c r="AL95" s="25"/>
      <c r="AM95" s="14" t="str">
        <f aca="false">IF(OR(AL95="",O95=""),"",IF(ABS(N(AL95)-N(O95))&lt;=0.01,"Y","N"))</f>
        <v/>
      </c>
      <c r="AN95" s="15" t="s">
        <v>11</v>
      </c>
      <c r="AO95" s="14" t="str">
        <f aca="false">IFERROR(INDEX(studies!$L:$L,MATCH($C95,studies!$A:$A,0)),"")</f>
        <v>Y</v>
      </c>
      <c r="AP95" s="14" t="str">
        <f aca="false">IF(AND(M95="REPORTED",V95=""),"출처 누락",IF(AND(M95="NOT_FOUND",AC95=""),"검색범위 누락",IF(F95="ARM",IF(OR(H95="",H95="NA"),"arm 누락","OK"),IF(F95="COMPARISON",IF(OR(I95="",I95="NA"),"비교쌍 누락",IF(OR(G95="",G95="NA"),"analysis_id 누락","OK")),IF(F95="","","OK")))))</f>
        <v>OK</v>
      </c>
      <c r="AQ95" s="15"/>
    </row>
    <row r="96" customFormat="false" ht="35.05" hidden="false" customHeight="false" outlineLevel="0" collapsed="false">
      <c r="A96" s="15" t="s">
        <v>487</v>
      </c>
      <c r="B96" s="15" t="s">
        <v>443</v>
      </c>
      <c r="C96" s="15" t="s">
        <v>83</v>
      </c>
      <c r="D96" s="15" t="s">
        <v>205</v>
      </c>
      <c r="E96" s="14" t="str">
        <f aca="false">IFERROR(INDEX(field_dictionary!$B:$B,MATCH($D96,field_dictionary!$A:$A,0)),"")</f>
        <v>DESIGN</v>
      </c>
      <c r="F96" s="14" t="str">
        <f aca="false">IFERROR(INDEX(field_dictionary!$C:$C,MATCH($D96,field_dictionary!$A:$A,0)),"")</f>
        <v>STUDY</v>
      </c>
      <c r="G96" s="15" t="s">
        <v>155</v>
      </c>
      <c r="H96" s="15" t="s">
        <v>155</v>
      </c>
      <c r="I96" s="15" t="s">
        <v>155</v>
      </c>
      <c r="J96" s="15" t="s">
        <v>155</v>
      </c>
      <c r="K96" s="15"/>
      <c r="L96" s="15" t="s">
        <v>171</v>
      </c>
      <c r="M96" s="15" t="s">
        <v>62</v>
      </c>
      <c r="N96" s="15" t="s">
        <v>464</v>
      </c>
      <c r="O96" s="25"/>
      <c r="P96" s="25"/>
      <c r="Q96" s="25"/>
      <c r="R96" s="15" t="s">
        <v>160</v>
      </c>
      <c r="S96" s="15"/>
      <c r="T96" s="15"/>
      <c r="U96" s="15"/>
      <c r="V96" s="15" t="s">
        <v>445</v>
      </c>
      <c r="W96" s="15" t="n">
        <v>40</v>
      </c>
      <c r="X96" s="15" t="s">
        <v>488</v>
      </c>
      <c r="Y96" s="15" t="s">
        <v>465</v>
      </c>
      <c r="Z96" s="15" t="s">
        <v>163</v>
      </c>
      <c r="AA96" s="15" t="s">
        <v>466</v>
      </c>
      <c r="AB96" s="15"/>
      <c r="AC96" s="15"/>
      <c r="AD96" s="15" t="s">
        <v>177</v>
      </c>
      <c r="AE96" s="26"/>
      <c r="AF96" s="27"/>
      <c r="AG96" s="27"/>
      <c r="AH96" s="27"/>
      <c r="AI96" s="26"/>
      <c r="AJ96" s="14" t="str">
        <f aca="false">IF(AE96="","",IF(AND(AE96=M96,ABS(N(AF96)-N(O96))&lt;=0.01,ABS(N(AG96)-N(P96))&lt;=0.01,ABS(N(AH96)-N(Q96))&lt;=0.01),"Y","N"))</f>
        <v/>
      </c>
      <c r="AK96" s="15"/>
      <c r="AL96" s="25"/>
      <c r="AM96" s="14" t="str">
        <f aca="false">IF(OR(AL96="",O96=""),"",IF(ABS(N(AL96)-N(O96))&lt;=0.01,"Y","N"))</f>
        <v/>
      </c>
      <c r="AN96" s="15" t="s">
        <v>11</v>
      </c>
      <c r="AO96" s="14" t="str">
        <f aca="false">IFERROR(INDEX(studies!$L:$L,MATCH($C96,studies!$A:$A,0)),"")</f>
        <v>Y</v>
      </c>
      <c r="AP96" s="14" t="str">
        <f aca="false">IF(AND(M96="REPORTED",V96=""),"출처 누락",IF(AND(M96="NOT_FOUND",AC96=""),"검색범위 누락",IF(F96="ARM",IF(OR(H96="",H96="NA"),"arm 누락","OK"),IF(F96="COMPARISON",IF(OR(I96="",I96="NA"),"비교쌍 누락",IF(OR(G96="",G96="NA"),"analysis_id 누락","OK")),IF(F96="","","OK")))))</f>
        <v>OK</v>
      </c>
      <c r="AQ96" s="15"/>
    </row>
    <row r="97" customFormat="false" ht="29.85" hidden="false" customHeight="false" outlineLevel="0" collapsed="false">
      <c r="A97" s="15" t="s">
        <v>489</v>
      </c>
      <c r="B97" s="15" t="s">
        <v>443</v>
      </c>
      <c r="C97" s="15" t="s">
        <v>83</v>
      </c>
      <c r="D97" s="15" t="s">
        <v>212</v>
      </c>
      <c r="E97" s="14" t="str">
        <f aca="false">IFERROR(INDEX(field_dictionary!$B:$B,MATCH($D97,field_dictionary!$A:$A,0)),"")</f>
        <v>IMMUNO</v>
      </c>
      <c r="F97" s="14" t="str">
        <f aca="false">IFERROR(INDEX(field_dictionary!$C:$C,MATCH($D97,field_dictionary!$A:$A,0)),"")</f>
        <v>STUDY</v>
      </c>
      <c r="G97" s="15" t="s">
        <v>155</v>
      </c>
      <c r="H97" s="15" t="s">
        <v>155</v>
      </c>
      <c r="I97" s="15" t="s">
        <v>155</v>
      </c>
      <c r="J97" s="15" t="s">
        <v>155</v>
      </c>
      <c r="K97" s="15"/>
      <c r="L97" s="15" t="s">
        <v>171</v>
      </c>
      <c r="M97" s="15" t="s">
        <v>62</v>
      </c>
      <c r="N97" s="15" t="s">
        <v>468</v>
      </c>
      <c r="O97" s="25"/>
      <c r="P97" s="25"/>
      <c r="Q97" s="25"/>
      <c r="R97" s="15"/>
      <c r="S97" s="15"/>
      <c r="T97" s="15"/>
      <c r="U97" s="15"/>
      <c r="V97" s="15" t="s">
        <v>445</v>
      </c>
      <c r="W97" s="15" t="n">
        <v>30</v>
      </c>
      <c r="X97" s="15" t="s">
        <v>469</v>
      </c>
      <c r="Y97" s="15" t="s">
        <v>470</v>
      </c>
      <c r="Z97" s="15" t="s">
        <v>163</v>
      </c>
      <c r="AA97" s="15" t="s">
        <v>471</v>
      </c>
      <c r="AB97" s="15"/>
      <c r="AC97" s="15"/>
      <c r="AD97" s="15" t="s">
        <v>177</v>
      </c>
      <c r="AE97" s="26"/>
      <c r="AF97" s="27"/>
      <c r="AG97" s="27"/>
      <c r="AH97" s="27"/>
      <c r="AI97" s="26"/>
      <c r="AJ97" s="14" t="str">
        <f aca="false">IF(AE97="","",IF(AND(AE97=M97,ABS(N(AF97)-N(O97))&lt;=0.01,ABS(N(AG97)-N(P97))&lt;=0.01,ABS(N(AH97)-N(Q97))&lt;=0.01),"Y","N"))</f>
        <v/>
      </c>
      <c r="AK97" s="15"/>
      <c r="AL97" s="25"/>
      <c r="AM97" s="14" t="str">
        <f aca="false">IF(OR(AL97="",O97=""),"",IF(ABS(N(AL97)-N(O97))&lt;=0.01,"Y","N"))</f>
        <v/>
      </c>
      <c r="AN97" s="15" t="s">
        <v>11</v>
      </c>
      <c r="AO97" s="14" t="str">
        <f aca="false">IFERROR(INDEX(studies!$L:$L,MATCH($C97,studies!$A:$A,0)),"")</f>
        <v>Y</v>
      </c>
      <c r="AP97" s="14" t="str">
        <f aca="false">IF(AND(M97="REPORTED",V97=""),"출처 누락",IF(AND(M97="NOT_FOUND",AC97=""),"검색범위 누락",IF(F97="ARM",IF(OR(H97="",H97="NA"),"arm 누락","OK"),IF(F97="COMPARISON",IF(OR(I97="",I97="NA"),"비교쌍 누락",IF(OR(G97="",G97="NA"),"analysis_id 누락","OK")),IF(F97="","","OK")))))</f>
        <v>OK</v>
      </c>
      <c r="AQ97" s="15" t="s">
        <v>472</v>
      </c>
    </row>
    <row r="98" customFormat="false" ht="57.45" hidden="false" customHeight="false" outlineLevel="0" collapsed="false">
      <c r="A98" s="15" t="s">
        <v>490</v>
      </c>
      <c r="B98" s="15" t="s">
        <v>443</v>
      </c>
      <c r="C98" s="15" t="s">
        <v>82</v>
      </c>
      <c r="D98" s="15" t="s">
        <v>219</v>
      </c>
      <c r="E98" s="14" t="str">
        <f aca="false">IFERROR(INDEX(field_dictionary!$B:$B,MATCH($D98,field_dictionary!$A:$A,0)),"")</f>
        <v>DESIGN</v>
      </c>
      <c r="F98" s="14" t="str">
        <f aca="false">IFERROR(INDEX(field_dictionary!$C:$C,MATCH($D98,field_dictionary!$A:$A,0)),"")</f>
        <v>ARM</v>
      </c>
      <c r="G98" s="15" t="s">
        <v>155</v>
      </c>
      <c r="H98" s="15" t="s">
        <v>220</v>
      </c>
      <c r="I98" s="15" t="s">
        <v>155</v>
      </c>
      <c r="J98" s="15" t="s">
        <v>221</v>
      </c>
      <c r="K98" s="15"/>
      <c r="L98" s="15" t="s">
        <v>171</v>
      </c>
      <c r="M98" s="15" t="s">
        <v>62</v>
      </c>
      <c r="N98" s="15" t="s">
        <v>381</v>
      </c>
      <c r="O98" s="25" t="n">
        <v>80</v>
      </c>
      <c r="P98" s="25"/>
      <c r="Q98" s="25"/>
      <c r="R98" s="13" t="s">
        <v>223</v>
      </c>
      <c r="S98" s="15"/>
      <c r="T98" s="15"/>
      <c r="U98" s="15"/>
      <c r="V98" s="15" t="s">
        <v>445</v>
      </c>
      <c r="W98" s="15" t="n">
        <v>32</v>
      </c>
      <c r="X98" s="15" t="s">
        <v>491</v>
      </c>
      <c r="Y98" s="15" t="s">
        <v>492</v>
      </c>
      <c r="Z98" s="15" t="s">
        <v>163</v>
      </c>
      <c r="AA98" s="15" t="s">
        <v>493</v>
      </c>
      <c r="AB98" s="15" t="s">
        <v>494</v>
      </c>
      <c r="AC98" s="15"/>
      <c r="AD98" s="15" t="s">
        <v>177</v>
      </c>
      <c r="AE98" s="26"/>
      <c r="AF98" s="27"/>
      <c r="AG98" s="27"/>
      <c r="AH98" s="27"/>
      <c r="AI98" s="26"/>
      <c r="AJ98" s="14" t="str">
        <f aca="false">IF(AE98="","",IF(AND(AE98=M98,ABS(N(AF98)-N(O98))&lt;=0.01,ABS(N(AG98)-N(P98))&lt;=0.01,ABS(N(AH98)-N(Q98))&lt;=0.01),"Y","N"))</f>
        <v/>
      </c>
      <c r="AK98" s="15"/>
      <c r="AL98" s="25"/>
      <c r="AM98" s="14" t="str">
        <f aca="false">IF(OR(AL98="",O98=""),"",IF(ABS(N(AL98)-N(O98))&lt;=0.01,"Y","N"))</f>
        <v/>
      </c>
      <c r="AN98" s="15" t="s">
        <v>11</v>
      </c>
      <c r="AO98" s="14" t="str">
        <f aca="false">IFERROR(INDEX(studies!$L:$L,MATCH($C98,studies!$A:$A,0)),"")</f>
        <v>Y</v>
      </c>
      <c r="AP98" s="14" t="str">
        <f aca="false">IF(AND(M98="REPORTED",V98=""),"출처 누락",IF(AND(M98="NOT_FOUND",AC98=""),"검색범위 누락",IF(F98="ARM",IF(OR(H98="",H98="NA"),"arm 누락","OK"),IF(F98="COMPARISON",IF(OR(I98="",I98="NA"),"비교쌍 누락",IF(OR(G98="",G98="NA"),"analysis_id 누락","OK")),IF(F98="","","OK")))))</f>
        <v>OK</v>
      </c>
      <c r="AQ98" s="15"/>
    </row>
    <row r="99" customFormat="false" ht="57.45" hidden="false" customHeight="false" outlineLevel="0" collapsed="false">
      <c r="A99" s="15" t="s">
        <v>495</v>
      </c>
      <c r="B99" s="15" t="s">
        <v>443</v>
      </c>
      <c r="C99" s="15" t="s">
        <v>82</v>
      </c>
      <c r="D99" s="15" t="s">
        <v>219</v>
      </c>
      <c r="E99" s="14" t="str">
        <f aca="false">IFERROR(INDEX(field_dictionary!$B:$B,MATCH($D99,field_dictionary!$A:$A,0)),"")</f>
        <v>DESIGN</v>
      </c>
      <c r="F99" s="14" t="str">
        <f aca="false">IFERROR(INDEX(field_dictionary!$C:$C,MATCH($D99,field_dictionary!$A:$A,0)),"")</f>
        <v>ARM</v>
      </c>
      <c r="G99" s="15" t="s">
        <v>155</v>
      </c>
      <c r="H99" s="15" t="s">
        <v>228</v>
      </c>
      <c r="I99" s="15" t="s">
        <v>155</v>
      </c>
      <c r="J99" s="15" t="s">
        <v>221</v>
      </c>
      <c r="K99" s="15"/>
      <c r="L99" s="15" t="s">
        <v>171</v>
      </c>
      <c r="M99" s="15" t="s">
        <v>62</v>
      </c>
      <c r="N99" s="15" t="s">
        <v>496</v>
      </c>
      <c r="O99" s="25" t="n">
        <v>82</v>
      </c>
      <c r="P99" s="25"/>
      <c r="Q99" s="25"/>
      <c r="R99" s="13" t="s">
        <v>223</v>
      </c>
      <c r="S99" s="15"/>
      <c r="T99" s="15"/>
      <c r="U99" s="15"/>
      <c r="V99" s="15" t="s">
        <v>445</v>
      </c>
      <c r="W99" s="15" t="n">
        <v>32</v>
      </c>
      <c r="X99" s="15" t="s">
        <v>491</v>
      </c>
      <c r="Y99" s="15" t="s">
        <v>492</v>
      </c>
      <c r="Z99" s="15" t="s">
        <v>163</v>
      </c>
      <c r="AA99" s="15" t="s">
        <v>493</v>
      </c>
      <c r="AB99" s="15" t="s">
        <v>494</v>
      </c>
      <c r="AC99" s="15"/>
      <c r="AD99" s="15" t="s">
        <v>177</v>
      </c>
      <c r="AE99" s="26"/>
      <c r="AF99" s="27"/>
      <c r="AG99" s="27"/>
      <c r="AH99" s="27"/>
      <c r="AI99" s="26"/>
      <c r="AJ99" s="14" t="str">
        <f aca="false">IF(AE99="","",IF(AND(AE99=M99,ABS(N(AF99)-N(O99))&lt;=0.01,ABS(N(AG99)-N(P99))&lt;=0.01,ABS(N(AH99)-N(Q99))&lt;=0.01),"Y","N"))</f>
        <v/>
      </c>
      <c r="AK99" s="15"/>
      <c r="AL99" s="25"/>
      <c r="AM99" s="14" t="str">
        <f aca="false">IF(OR(AL99="",O99=""),"",IF(ABS(N(AL99)-N(O99))&lt;=0.01,"Y","N"))</f>
        <v/>
      </c>
      <c r="AN99" s="15" t="s">
        <v>11</v>
      </c>
      <c r="AO99" s="14" t="str">
        <f aca="false">IFERROR(INDEX(studies!$L:$L,MATCH($C99,studies!$A:$A,0)),"")</f>
        <v>Y</v>
      </c>
      <c r="AP99" s="14" t="str">
        <f aca="false">IF(AND(M99="REPORTED",V99=""),"출처 누락",IF(AND(M99="NOT_FOUND",AC99=""),"검색범위 누락",IF(F99="ARM",IF(OR(H99="",H99="NA"),"arm 누락","OK"),IF(F99="COMPARISON",IF(OR(I99="",I99="NA"),"비교쌍 누락",IF(OR(G99="",G99="NA"),"analysis_id 누락","OK")),IF(F99="","","OK")))))</f>
        <v>OK</v>
      </c>
      <c r="AQ99" s="15"/>
    </row>
    <row r="100" customFormat="false" ht="57.45" hidden="false" customHeight="false" outlineLevel="0" collapsed="false">
      <c r="A100" s="15" t="s">
        <v>497</v>
      </c>
      <c r="B100" s="15" t="s">
        <v>443</v>
      </c>
      <c r="C100" s="15" t="s">
        <v>82</v>
      </c>
      <c r="D100" s="15" t="s">
        <v>219</v>
      </c>
      <c r="E100" s="14" t="str">
        <f aca="false">IFERROR(INDEX(field_dictionary!$B:$B,MATCH($D100,field_dictionary!$A:$A,0)),"")</f>
        <v>DESIGN</v>
      </c>
      <c r="F100" s="14" t="str">
        <f aca="false">IFERROR(INDEX(field_dictionary!$C:$C,MATCH($D100,field_dictionary!$A:$A,0)),"")</f>
        <v>ARM</v>
      </c>
      <c r="G100" s="15" t="s">
        <v>155</v>
      </c>
      <c r="H100" s="15" t="s">
        <v>230</v>
      </c>
      <c r="I100" s="15" t="s">
        <v>155</v>
      </c>
      <c r="J100" s="15" t="s">
        <v>221</v>
      </c>
      <c r="K100" s="15"/>
      <c r="L100" s="15" t="s">
        <v>171</v>
      </c>
      <c r="M100" s="15" t="s">
        <v>62</v>
      </c>
      <c r="N100" s="15" t="s">
        <v>383</v>
      </c>
      <c r="O100" s="25" t="n">
        <v>79</v>
      </c>
      <c r="P100" s="25"/>
      <c r="Q100" s="25"/>
      <c r="R100" s="13" t="s">
        <v>223</v>
      </c>
      <c r="S100" s="15"/>
      <c r="T100" s="15"/>
      <c r="U100" s="15"/>
      <c r="V100" s="15" t="s">
        <v>445</v>
      </c>
      <c r="W100" s="15" t="n">
        <v>32</v>
      </c>
      <c r="X100" s="15" t="s">
        <v>491</v>
      </c>
      <c r="Y100" s="15" t="s">
        <v>492</v>
      </c>
      <c r="Z100" s="15" t="s">
        <v>163</v>
      </c>
      <c r="AA100" s="15" t="s">
        <v>493</v>
      </c>
      <c r="AB100" s="15" t="s">
        <v>494</v>
      </c>
      <c r="AC100" s="15"/>
      <c r="AD100" s="15" t="s">
        <v>177</v>
      </c>
      <c r="AE100" s="26"/>
      <c r="AF100" s="27"/>
      <c r="AG100" s="27"/>
      <c r="AH100" s="27"/>
      <c r="AI100" s="26"/>
      <c r="AJ100" s="14" t="str">
        <f aca="false">IF(AE100="","",IF(AND(AE100=M100,ABS(N(AF100)-N(O100))&lt;=0.01,ABS(N(AG100)-N(P100))&lt;=0.01,ABS(N(AH100)-N(Q100))&lt;=0.01),"Y","N"))</f>
        <v/>
      </c>
      <c r="AK100" s="15"/>
      <c r="AL100" s="25"/>
      <c r="AM100" s="14" t="str">
        <f aca="false">IF(OR(AL100="",O100=""),"",IF(ABS(N(AL100)-N(O100))&lt;=0.01,"Y","N"))</f>
        <v/>
      </c>
      <c r="AN100" s="15" t="s">
        <v>11</v>
      </c>
      <c r="AO100" s="14" t="str">
        <f aca="false">IFERROR(INDEX(studies!$L:$L,MATCH($C100,studies!$A:$A,0)),"")</f>
        <v>Y</v>
      </c>
      <c r="AP100" s="14" t="str">
        <f aca="false">IF(AND(M100="REPORTED",V100=""),"출처 누락",IF(AND(M100="NOT_FOUND",AC100=""),"검색범위 누락",IF(F100="ARM",IF(OR(H100="",H100="NA"),"arm 누락","OK"),IF(F100="COMPARISON",IF(OR(I100="",I100="NA"),"비교쌍 누락",IF(OR(G100="",G100="NA"),"analysis_id 누락","OK")),IF(F100="","","OK")))))</f>
        <v>OK</v>
      </c>
      <c r="AQ100" s="15"/>
    </row>
    <row r="101" customFormat="false" ht="29.85" hidden="false" customHeight="false" outlineLevel="0" collapsed="false">
      <c r="A101" s="15" t="s">
        <v>498</v>
      </c>
      <c r="B101" s="15" t="s">
        <v>443</v>
      </c>
      <c r="C101" s="15" t="s">
        <v>82</v>
      </c>
      <c r="D101" s="15" t="s">
        <v>232</v>
      </c>
      <c r="E101" s="14" t="str">
        <f aca="false">IFERROR(INDEX(field_dictionary!$B:$B,MATCH($D101,field_dictionary!$A:$A,0)),"")</f>
        <v>DESIGN</v>
      </c>
      <c r="F101" s="14" t="str">
        <f aca="false">IFERROR(INDEX(field_dictionary!$C:$C,MATCH($D101,field_dictionary!$A:$A,0)),"")</f>
        <v>ARM</v>
      </c>
      <c r="G101" s="15" t="s">
        <v>155</v>
      </c>
      <c r="H101" s="15" t="s">
        <v>220</v>
      </c>
      <c r="I101" s="15" t="s">
        <v>155</v>
      </c>
      <c r="J101" s="15" t="s">
        <v>233</v>
      </c>
      <c r="K101" s="15"/>
      <c r="L101" s="15" t="s">
        <v>171</v>
      </c>
      <c r="M101" s="15" t="s">
        <v>62</v>
      </c>
      <c r="N101" s="15" t="s">
        <v>499</v>
      </c>
      <c r="O101" s="25" t="n">
        <v>80</v>
      </c>
      <c r="P101" s="25"/>
      <c r="Q101" s="25"/>
      <c r="R101" s="13" t="s">
        <v>223</v>
      </c>
      <c r="S101" s="15"/>
      <c r="T101" s="15"/>
      <c r="U101" s="15"/>
      <c r="V101" s="15" t="s">
        <v>445</v>
      </c>
      <c r="W101" s="15" t="n">
        <v>38</v>
      </c>
      <c r="X101" s="15" t="s">
        <v>500</v>
      </c>
      <c r="Y101" s="15" t="s">
        <v>501</v>
      </c>
      <c r="Z101" s="15" t="s">
        <v>315</v>
      </c>
      <c r="AA101" s="15"/>
      <c r="AB101" s="15"/>
      <c r="AC101" s="15"/>
      <c r="AD101" s="15" t="s">
        <v>316</v>
      </c>
      <c r="AE101" s="26"/>
      <c r="AF101" s="27"/>
      <c r="AG101" s="27"/>
      <c r="AH101" s="27"/>
      <c r="AI101" s="26"/>
      <c r="AJ101" s="14" t="str">
        <f aca="false">IF(AE101="","",IF(AND(AE101=M101,ABS(N(AF101)-N(O101))&lt;=0.01,ABS(N(AG101)-N(P101))&lt;=0.01,ABS(N(AH101)-N(Q101))&lt;=0.01),"Y","N"))</f>
        <v/>
      </c>
      <c r="AK101" s="15"/>
      <c r="AL101" s="25"/>
      <c r="AM101" s="14" t="str">
        <f aca="false">IF(OR(AL101="",O101=""),"",IF(ABS(N(AL101)-N(O101))&lt;=0.01,"Y","N"))</f>
        <v/>
      </c>
      <c r="AN101" s="15" t="s">
        <v>11</v>
      </c>
      <c r="AO101" s="14" t="str">
        <f aca="false">IFERROR(INDEX(studies!$L:$L,MATCH($C101,studies!$A:$A,0)),"")</f>
        <v>Y</v>
      </c>
      <c r="AP101" s="14" t="str">
        <f aca="false">IF(AND(M101="REPORTED",V101=""),"출처 누락",IF(AND(M101="NOT_FOUND",AC101=""),"검색범위 누락",IF(F101="ARM",IF(OR(H101="",H101="NA"),"arm 누락","OK"),IF(F101="COMPARISON",IF(OR(I101="",I101="NA"),"비교쌍 누락",IF(OR(G101="",G101="NA"),"analysis_id 누락","OK")),IF(F101="","","OK")))))</f>
        <v>OK</v>
      </c>
      <c r="AQ101" s="13" t="s">
        <v>502</v>
      </c>
    </row>
    <row r="102" customFormat="false" ht="29.85" hidden="false" customHeight="false" outlineLevel="0" collapsed="false">
      <c r="A102" s="15" t="s">
        <v>503</v>
      </c>
      <c r="B102" s="15" t="s">
        <v>443</v>
      </c>
      <c r="C102" s="15" t="s">
        <v>82</v>
      </c>
      <c r="D102" s="15" t="s">
        <v>232</v>
      </c>
      <c r="E102" s="14" t="str">
        <f aca="false">IFERROR(INDEX(field_dictionary!$B:$B,MATCH($D102,field_dictionary!$A:$A,0)),"")</f>
        <v>DESIGN</v>
      </c>
      <c r="F102" s="14" t="str">
        <f aca="false">IFERROR(INDEX(field_dictionary!$C:$C,MATCH($D102,field_dictionary!$A:$A,0)),"")</f>
        <v>ARM</v>
      </c>
      <c r="G102" s="15" t="s">
        <v>155</v>
      </c>
      <c r="H102" s="15" t="s">
        <v>228</v>
      </c>
      <c r="I102" s="15" t="s">
        <v>155</v>
      </c>
      <c r="J102" s="15" t="s">
        <v>233</v>
      </c>
      <c r="K102" s="15"/>
      <c r="L102" s="15" t="s">
        <v>171</v>
      </c>
      <c r="M102" s="15" t="s">
        <v>62</v>
      </c>
      <c r="N102" s="15" t="s">
        <v>504</v>
      </c>
      <c r="O102" s="25" t="n">
        <v>81</v>
      </c>
      <c r="P102" s="25"/>
      <c r="Q102" s="25"/>
      <c r="R102" s="13" t="s">
        <v>223</v>
      </c>
      <c r="S102" s="15"/>
      <c r="T102" s="15"/>
      <c r="U102" s="15"/>
      <c r="V102" s="15" t="s">
        <v>445</v>
      </c>
      <c r="W102" s="15" t="n">
        <v>38</v>
      </c>
      <c r="X102" s="15" t="s">
        <v>500</v>
      </c>
      <c r="Y102" s="15" t="s">
        <v>501</v>
      </c>
      <c r="Z102" s="15" t="s">
        <v>315</v>
      </c>
      <c r="AA102" s="15"/>
      <c r="AB102" s="15"/>
      <c r="AC102" s="15"/>
      <c r="AD102" s="15" t="s">
        <v>316</v>
      </c>
      <c r="AE102" s="26"/>
      <c r="AF102" s="27"/>
      <c r="AG102" s="27"/>
      <c r="AH102" s="27"/>
      <c r="AI102" s="26"/>
      <c r="AJ102" s="14" t="str">
        <f aca="false">IF(AE102="","",IF(AND(AE102=M102,ABS(N(AF102)-N(O102))&lt;=0.01,ABS(N(AG102)-N(P102))&lt;=0.01,ABS(N(AH102)-N(Q102))&lt;=0.01),"Y","N"))</f>
        <v/>
      </c>
      <c r="AK102" s="15"/>
      <c r="AL102" s="25"/>
      <c r="AM102" s="14" t="str">
        <f aca="false">IF(OR(AL102="",O102=""),"",IF(ABS(N(AL102)-N(O102))&lt;=0.01,"Y","N"))</f>
        <v/>
      </c>
      <c r="AN102" s="15" t="s">
        <v>11</v>
      </c>
      <c r="AO102" s="14" t="str">
        <f aca="false">IFERROR(INDEX(studies!$L:$L,MATCH($C102,studies!$A:$A,0)),"")</f>
        <v>Y</v>
      </c>
      <c r="AP102" s="14" t="str">
        <f aca="false">IF(AND(M102="REPORTED",V102=""),"출처 누락",IF(AND(M102="NOT_FOUND",AC102=""),"검색범위 누락",IF(F102="ARM",IF(OR(H102="",H102="NA"),"arm 누락","OK"),IF(F102="COMPARISON",IF(OR(I102="",I102="NA"),"비교쌍 누락",IF(OR(G102="",G102="NA"),"analysis_id 누락","OK")),IF(F102="","","OK")))))</f>
        <v>OK</v>
      </c>
      <c r="AQ102" s="13" t="s">
        <v>502</v>
      </c>
    </row>
    <row r="103" customFormat="false" ht="29.85" hidden="false" customHeight="false" outlineLevel="0" collapsed="false">
      <c r="A103" s="15" t="s">
        <v>505</v>
      </c>
      <c r="B103" s="15" t="s">
        <v>443</v>
      </c>
      <c r="C103" s="15" t="s">
        <v>82</v>
      </c>
      <c r="D103" s="15" t="s">
        <v>232</v>
      </c>
      <c r="E103" s="14" t="str">
        <f aca="false">IFERROR(INDEX(field_dictionary!$B:$B,MATCH($D103,field_dictionary!$A:$A,0)),"")</f>
        <v>DESIGN</v>
      </c>
      <c r="F103" s="14" t="str">
        <f aca="false">IFERROR(INDEX(field_dictionary!$C:$C,MATCH($D103,field_dictionary!$A:$A,0)),"")</f>
        <v>ARM</v>
      </c>
      <c r="G103" s="15" t="s">
        <v>155</v>
      </c>
      <c r="H103" s="15" t="s">
        <v>230</v>
      </c>
      <c r="I103" s="15" t="s">
        <v>155</v>
      </c>
      <c r="J103" s="15" t="s">
        <v>233</v>
      </c>
      <c r="K103" s="15"/>
      <c r="L103" s="15" t="s">
        <v>171</v>
      </c>
      <c r="M103" s="15" t="s">
        <v>62</v>
      </c>
      <c r="N103" s="15" t="s">
        <v>506</v>
      </c>
      <c r="O103" s="25" t="n">
        <v>77</v>
      </c>
      <c r="P103" s="25"/>
      <c r="Q103" s="25"/>
      <c r="R103" s="13" t="s">
        <v>223</v>
      </c>
      <c r="S103" s="15"/>
      <c r="T103" s="15"/>
      <c r="U103" s="15"/>
      <c r="V103" s="15" t="s">
        <v>445</v>
      </c>
      <c r="W103" s="15" t="n">
        <v>38</v>
      </c>
      <c r="X103" s="15" t="s">
        <v>500</v>
      </c>
      <c r="Y103" s="15" t="s">
        <v>501</v>
      </c>
      <c r="Z103" s="15" t="s">
        <v>315</v>
      </c>
      <c r="AA103" s="15"/>
      <c r="AB103" s="15"/>
      <c r="AC103" s="15"/>
      <c r="AD103" s="15" t="s">
        <v>316</v>
      </c>
      <c r="AE103" s="26"/>
      <c r="AF103" s="27"/>
      <c r="AG103" s="27"/>
      <c r="AH103" s="27"/>
      <c r="AI103" s="26"/>
      <c r="AJ103" s="14" t="str">
        <f aca="false">IF(AE103="","",IF(AND(AE103=M103,ABS(N(AF103)-N(O103))&lt;=0.01,ABS(N(AG103)-N(P103))&lt;=0.01,ABS(N(AH103)-N(Q103))&lt;=0.01),"Y","N"))</f>
        <v/>
      </c>
      <c r="AK103" s="15"/>
      <c r="AL103" s="25"/>
      <c r="AM103" s="14" t="str">
        <f aca="false">IF(OR(AL103="",O103=""),"",IF(ABS(N(AL103)-N(O103))&lt;=0.01,"Y","N"))</f>
        <v/>
      </c>
      <c r="AN103" s="15" t="s">
        <v>11</v>
      </c>
      <c r="AO103" s="14" t="str">
        <f aca="false">IFERROR(INDEX(studies!$L:$L,MATCH($C103,studies!$A:$A,0)),"")</f>
        <v>Y</v>
      </c>
      <c r="AP103" s="14" t="str">
        <f aca="false">IF(AND(M103="REPORTED",V103=""),"출처 누락",IF(AND(M103="NOT_FOUND",AC103=""),"검색범위 누락",IF(F103="ARM",IF(OR(H103="",H103="NA"),"arm 누락","OK"),IF(F103="COMPARISON",IF(OR(I103="",I103="NA"),"비교쌍 누락",IF(OR(G103="",G103="NA"),"analysis_id 누락","OK")),IF(F103="","","OK")))))</f>
        <v>OK</v>
      </c>
      <c r="AQ103" s="13" t="s">
        <v>502</v>
      </c>
    </row>
    <row r="104" customFormat="false" ht="46.25" hidden="false" customHeight="false" outlineLevel="0" collapsed="false">
      <c r="A104" s="15" t="s">
        <v>507</v>
      </c>
      <c r="B104" s="15" t="s">
        <v>443</v>
      </c>
      <c r="C104" s="15" t="s">
        <v>82</v>
      </c>
      <c r="D104" s="15" t="s">
        <v>240</v>
      </c>
      <c r="E104" s="14" t="str">
        <f aca="false">IFERROR(INDEX(field_dictionary!$B:$B,MATCH($D104,field_dictionary!$A:$A,0)),"")</f>
        <v>IMMUNO</v>
      </c>
      <c r="F104" s="14" t="str">
        <f aca="false">IFERROR(INDEX(field_dictionary!$C:$C,MATCH($D104,field_dictionary!$A:$A,0)),"")</f>
        <v>ARM</v>
      </c>
      <c r="G104" s="15" t="s">
        <v>241</v>
      </c>
      <c r="H104" s="15" t="s">
        <v>220</v>
      </c>
      <c r="I104" s="15" t="s">
        <v>155</v>
      </c>
      <c r="J104" s="15" t="s">
        <v>242</v>
      </c>
      <c r="K104" s="15" t="s">
        <v>508</v>
      </c>
      <c r="L104" s="15" t="s">
        <v>171</v>
      </c>
      <c r="M104" s="15" t="s">
        <v>62</v>
      </c>
      <c r="N104" s="15" t="s">
        <v>509</v>
      </c>
      <c r="O104" s="25" t="n">
        <v>16.3</v>
      </c>
      <c r="P104" s="25"/>
      <c r="Q104" s="25"/>
      <c r="R104" s="15" t="s">
        <v>160</v>
      </c>
      <c r="S104" s="15"/>
      <c r="T104" s="15"/>
      <c r="U104" s="15" t="s">
        <v>510</v>
      </c>
      <c r="V104" s="15" t="s">
        <v>445</v>
      </c>
      <c r="W104" s="15" t="n">
        <v>111</v>
      </c>
      <c r="X104" s="15" t="s">
        <v>511</v>
      </c>
      <c r="Y104" s="15" t="s">
        <v>512</v>
      </c>
      <c r="Z104" s="15" t="s">
        <v>163</v>
      </c>
      <c r="AA104" s="15" t="s">
        <v>513</v>
      </c>
      <c r="AB104" s="15" t="s">
        <v>514</v>
      </c>
      <c r="AC104" s="15"/>
      <c r="AD104" s="15" t="s">
        <v>177</v>
      </c>
      <c r="AE104" s="26"/>
      <c r="AF104" s="27"/>
      <c r="AG104" s="27"/>
      <c r="AH104" s="27"/>
      <c r="AI104" s="26"/>
      <c r="AJ104" s="14" t="str">
        <f aca="false">IF(AE104="","",IF(AND(AE104=M104,ABS(N(AF104)-N(O104))&lt;=0.01,ABS(N(AG104)-N(P104))&lt;=0.01,ABS(N(AH104)-N(Q104))&lt;=0.01),"Y","N"))</f>
        <v/>
      </c>
      <c r="AK104" s="15"/>
      <c r="AL104" s="25"/>
      <c r="AM104" s="14" t="str">
        <f aca="false">IF(OR(AL104="",O104=""),"",IF(ABS(N(AL104)-N(O104))&lt;=0.01,"Y","N"))</f>
        <v/>
      </c>
      <c r="AN104" s="15" t="s">
        <v>11</v>
      </c>
      <c r="AO104" s="14" t="str">
        <f aca="false">IFERROR(INDEX(studies!$L:$L,MATCH($C104,studies!$A:$A,0)),"")</f>
        <v>Y</v>
      </c>
      <c r="AP104" s="14" t="str">
        <f aca="false">IF(AND(M104="REPORTED",V104=""),"출처 누락",IF(AND(M104="NOT_FOUND",AC104=""),"검색범위 누락",IF(F104="ARM",IF(OR(H104="",H104="NA"),"arm 누락","OK"),IF(F104="COMPARISON",IF(OR(I104="",I104="NA"),"비교쌍 누락",IF(OR(G104="",G104="NA"),"analysis_id 누락","OK")),IF(F104="","","OK")))))</f>
        <v>OK</v>
      </c>
      <c r="AQ104" s="13" t="s">
        <v>515</v>
      </c>
    </row>
    <row r="105" customFormat="false" ht="46.25" hidden="false" customHeight="false" outlineLevel="0" collapsed="false">
      <c r="A105" s="15" t="s">
        <v>516</v>
      </c>
      <c r="B105" s="15" t="s">
        <v>443</v>
      </c>
      <c r="C105" s="15" t="s">
        <v>82</v>
      </c>
      <c r="D105" s="15" t="s">
        <v>240</v>
      </c>
      <c r="E105" s="14" t="str">
        <f aca="false">IFERROR(INDEX(field_dictionary!$B:$B,MATCH($D105,field_dictionary!$A:$A,0)),"")</f>
        <v>IMMUNO</v>
      </c>
      <c r="F105" s="14" t="str">
        <f aca="false">IFERROR(INDEX(field_dictionary!$C:$C,MATCH($D105,field_dictionary!$A:$A,0)),"")</f>
        <v>ARM</v>
      </c>
      <c r="G105" s="15" t="s">
        <v>241</v>
      </c>
      <c r="H105" s="15" t="s">
        <v>228</v>
      </c>
      <c r="I105" s="15" t="s">
        <v>155</v>
      </c>
      <c r="J105" s="15" t="s">
        <v>242</v>
      </c>
      <c r="K105" s="15" t="s">
        <v>508</v>
      </c>
      <c r="L105" s="15" t="s">
        <v>171</v>
      </c>
      <c r="M105" s="15" t="s">
        <v>62</v>
      </c>
      <c r="N105" s="15" t="s">
        <v>517</v>
      </c>
      <c r="O105" s="25" t="n">
        <v>29.3</v>
      </c>
      <c r="P105" s="25"/>
      <c r="Q105" s="25"/>
      <c r="R105" s="15" t="s">
        <v>160</v>
      </c>
      <c r="S105" s="15"/>
      <c r="T105" s="15"/>
      <c r="U105" s="15" t="s">
        <v>510</v>
      </c>
      <c r="V105" s="15" t="s">
        <v>445</v>
      </c>
      <c r="W105" s="15" t="n">
        <v>111</v>
      </c>
      <c r="X105" s="15" t="s">
        <v>511</v>
      </c>
      <c r="Y105" s="15" t="s">
        <v>512</v>
      </c>
      <c r="Z105" s="15" t="s">
        <v>163</v>
      </c>
      <c r="AA105" s="15" t="s">
        <v>513</v>
      </c>
      <c r="AB105" s="15" t="s">
        <v>514</v>
      </c>
      <c r="AC105" s="15"/>
      <c r="AD105" s="15" t="s">
        <v>177</v>
      </c>
      <c r="AE105" s="26"/>
      <c r="AF105" s="27"/>
      <c r="AG105" s="27"/>
      <c r="AH105" s="27"/>
      <c r="AI105" s="26"/>
      <c r="AJ105" s="14" t="str">
        <f aca="false">IF(AE105="","",IF(AND(AE105=M105,ABS(N(AF105)-N(O105))&lt;=0.01,ABS(N(AG105)-N(P105))&lt;=0.01,ABS(N(AH105)-N(Q105))&lt;=0.01),"Y","N"))</f>
        <v/>
      </c>
      <c r="AK105" s="15"/>
      <c r="AL105" s="25"/>
      <c r="AM105" s="14" t="str">
        <f aca="false">IF(OR(AL105="",O105=""),"",IF(ABS(N(AL105)-N(O105))&lt;=0.01,"Y","N"))</f>
        <v/>
      </c>
      <c r="AN105" s="15" t="s">
        <v>11</v>
      </c>
      <c r="AO105" s="14" t="str">
        <f aca="false">IFERROR(INDEX(studies!$L:$L,MATCH($C105,studies!$A:$A,0)),"")</f>
        <v>Y</v>
      </c>
      <c r="AP105" s="14" t="str">
        <f aca="false">IF(AND(M105="REPORTED",V105=""),"출처 누락",IF(AND(M105="NOT_FOUND",AC105=""),"검색범위 누락",IF(F105="ARM",IF(OR(H105="",H105="NA"),"arm 누락","OK"),IF(F105="COMPARISON",IF(OR(I105="",I105="NA"),"비교쌍 누락",IF(OR(G105="",G105="NA"),"analysis_id 누락","OK")),IF(F105="","","OK")))))</f>
        <v>OK</v>
      </c>
      <c r="AQ105" s="13" t="s">
        <v>515</v>
      </c>
    </row>
    <row r="106" customFormat="false" ht="46.25" hidden="false" customHeight="false" outlineLevel="0" collapsed="false">
      <c r="A106" s="15" t="s">
        <v>518</v>
      </c>
      <c r="B106" s="15" t="s">
        <v>443</v>
      </c>
      <c r="C106" s="15" t="s">
        <v>82</v>
      </c>
      <c r="D106" s="15" t="s">
        <v>240</v>
      </c>
      <c r="E106" s="14" t="str">
        <f aca="false">IFERROR(INDEX(field_dictionary!$B:$B,MATCH($D106,field_dictionary!$A:$A,0)),"")</f>
        <v>IMMUNO</v>
      </c>
      <c r="F106" s="14" t="str">
        <f aca="false">IFERROR(INDEX(field_dictionary!$C:$C,MATCH($D106,field_dictionary!$A:$A,0)),"")</f>
        <v>ARM</v>
      </c>
      <c r="G106" s="15" t="s">
        <v>241</v>
      </c>
      <c r="H106" s="15" t="s">
        <v>230</v>
      </c>
      <c r="I106" s="15" t="s">
        <v>155</v>
      </c>
      <c r="J106" s="15" t="s">
        <v>242</v>
      </c>
      <c r="K106" s="15" t="s">
        <v>508</v>
      </c>
      <c r="L106" s="15" t="s">
        <v>171</v>
      </c>
      <c r="M106" s="15" t="s">
        <v>62</v>
      </c>
      <c r="N106" s="15" t="s">
        <v>519</v>
      </c>
      <c r="O106" s="25" t="n">
        <v>43.6</v>
      </c>
      <c r="P106" s="25"/>
      <c r="Q106" s="25"/>
      <c r="R106" s="15" t="s">
        <v>160</v>
      </c>
      <c r="S106" s="15"/>
      <c r="T106" s="15"/>
      <c r="U106" s="15" t="s">
        <v>510</v>
      </c>
      <c r="V106" s="15" t="s">
        <v>445</v>
      </c>
      <c r="W106" s="15" t="n">
        <v>111</v>
      </c>
      <c r="X106" s="15" t="s">
        <v>511</v>
      </c>
      <c r="Y106" s="15" t="s">
        <v>512</v>
      </c>
      <c r="Z106" s="15" t="s">
        <v>163</v>
      </c>
      <c r="AA106" s="15" t="s">
        <v>513</v>
      </c>
      <c r="AB106" s="15" t="s">
        <v>514</v>
      </c>
      <c r="AC106" s="15"/>
      <c r="AD106" s="15" t="s">
        <v>177</v>
      </c>
      <c r="AE106" s="26"/>
      <c r="AF106" s="27"/>
      <c r="AG106" s="27"/>
      <c r="AH106" s="27"/>
      <c r="AI106" s="26"/>
      <c r="AJ106" s="14" t="str">
        <f aca="false">IF(AE106="","",IF(AND(AE106=M106,ABS(N(AF106)-N(O106))&lt;=0.01,ABS(N(AG106)-N(P106))&lt;=0.01,ABS(N(AH106)-N(Q106))&lt;=0.01),"Y","N"))</f>
        <v/>
      </c>
      <c r="AK106" s="15"/>
      <c r="AL106" s="25"/>
      <c r="AM106" s="14" t="str">
        <f aca="false">IF(OR(AL106="",O106=""),"",IF(ABS(N(AL106)-N(O106))&lt;=0.01,"Y","N"))</f>
        <v/>
      </c>
      <c r="AN106" s="15" t="s">
        <v>11</v>
      </c>
      <c r="AO106" s="14" t="str">
        <f aca="false">IFERROR(INDEX(studies!$L:$L,MATCH($C106,studies!$A:$A,0)),"")</f>
        <v>Y</v>
      </c>
      <c r="AP106" s="14" t="str">
        <f aca="false">IF(AND(M106="REPORTED",V106=""),"출처 누락",IF(AND(M106="NOT_FOUND",AC106=""),"검색범위 누락",IF(F106="ARM",IF(OR(H106="",H106="NA"),"arm 누락","OK"),IF(F106="COMPARISON",IF(OR(I106="",I106="NA"),"비교쌍 누락",IF(OR(G106="",G106="NA"),"analysis_id 누락","OK")),IF(F106="","","OK")))))</f>
        <v>OK</v>
      </c>
      <c r="AQ106" s="13" t="s">
        <v>515</v>
      </c>
    </row>
    <row r="107" customFormat="false" ht="46.25" hidden="false" customHeight="false" outlineLevel="0" collapsed="false">
      <c r="A107" s="15" t="s">
        <v>520</v>
      </c>
      <c r="B107" s="15" t="s">
        <v>443</v>
      </c>
      <c r="C107" s="15" t="s">
        <v>82</v>
      </c>
      <c r="D107" s="15" t="s">
        <v>255</v>
      </c>
      <c r="E107" s="14" t="str">
        <f aca="false">IFERROR(INDEX(field_dictionary!$B:$B,MATCH($D107,field_dictionary!$A:$A,0)),"")</f>
        <v>IMMUNO</v>
      </c>
      <c r="F107" s="14" t="str">
        <f aca="false">IFERROR(INDEX(field_dictionary!$C:$C,MATCH($D107,field_dictionary!$A:$A,0)),"")</f>
        <v>ARM</v>
      </c>
      <c r="G107" s="15" t="s">
        <v>256</v>
      </c>
      <c r="H107" s="15" t="s">
        <v>220</v>
      </c>
      <c r="I107" s="15" t="s">
        <v>155</v>
      </c>
      <c r="J107" s="15" t="s">
        <v>242</v>
      </c>
      <c r="K107" s="15" t="s">
        <v>508</v>
      </c>
      <c r="L107" s="15" t="s">
        <v>171</v>
      </c>
      <c r="M107" s="15" t="s">
        <v>62</v>
      </c>
      <c r="N107" s="15" t="s">
        <v>521</v>
      </c>
      <c r="O107" s="25" t="n">
        <v>6.3</v>
      </c>
      <c r="P107" s="25"/>
      <c r="Q107" s="25"/>
      <c r="R107" s="15" t="s">
        <v>160</v>
      </c>
      <c r="S107" s="15"/>
      <c r="T107" s="15"/>
      <c r="U107" s="15" t="s">
        <v>402</v>
      </c>
      <c r="V107" s="15" t="s">
        <v>445</v>
      </c>
      <c r="W107" s="15" t="n">
        <v>111</v>
      </c>
      <c r="X107" s="15" t="s">
        <v>511</v>
      </c>
      <c r="Y107" s="15" t="s">
        <v>512</v>
      </c>
      <c r="Z107" s="15" t="s">
        <v>163</v>
      </c>
      <c r="AA107" s="15" t="s">
        <v>522</v>
      </c>
      <c r="AB107" s="15"/>
      <c r="AC107" s="15"/>
      <c r="AD107" s="15" t="s">
        <v>177</v>
      </c>
      <c r="AE107" s="26"/>
      <c r="AF107" s="27"/>
      <c r="AG107" s="27"/>
      <c r="AH107" s="27"/>
      <c r="AI107" s="26"/>
      <c r="AJ107" s="14" t="str">
        <f aca="false">IF(AE107="","",IF(AND(AE107=M107,ABS(N(AF107)-N(O107))&lt;=0.01,ABS(N(AG107)-N(P107))&lt;=0.01,ABS(N(AH107)-N(Q107))&lt;=0.01),"Y","N"))</f>
        <v/>
      </c>
      <c r="AK107" s="15"/>
      <c r="AL107" s="25"/>
      <c r="AM107" s="14" t="str">
        <f aca="false">IF(OR(AL107="",O107=""),"",IF(ABS(N(AL107)-N(O107))&lt;=0.01,"Y","N"))</f>
        <v/>
      </c>
      <c r="AN107" s="15" t="s">
        <v>11</v>
      </c>
      <c r="AO107" s="14" t="str">
        <f aca="false">IFERROR(INDEX(studies!$L:$L,MATCH($C107,studies!$A:$A,0)),"")</f>
        <v>Y</v>
      </c>
      <c r="AP107" s="14" t="str">
        <f aca="false">IF(AND(M107="REPORTED",V107=""),"출처 누락",IF(AND(M107="NOT_FOUND",AC107=""),"검색범위 누락",IF(F107="ARM",IF(OR(H107="",H107="NA"),"arm 누락","OK"),IF(F107="COMPARISON",IF(OR(I107="",I107="NA"),"비교쌍 누락",IF(OR(G107="",G107="NA"),"analysis_id 누락","OK")),IF(F107="","","OK")))))</f>
        <v>OK</v>
      </c>
      <c r="AQ107" s="15"/>
    </row>
    <row r="108" customFormat="false" ht="46.25" hidden="false" customHeight="false" outlineLevel="0" collapsed="false">
      <c r="A108" s="15" t="s">
        <v>523</v>
      </c>
      <c r="B108" s="15" t="s">
        <v>443</v>
      </c>
      <c r="C108" s="15" t="s">
        <v>82</v>
      </c>
      <c r="D108" s="15" t="s">
        <v>255</v>
      </c>
      <c r="E108" s="14" t="str">
        <f aca="false">IFERROR(INDEX(field_dictionary!$B:$B,MATCH($D108,field_dictionary!$A:$A,0)),"")</f>
        <v>IMMUNO</v>
      </c>
      <c r="F108" s="14" t="str">
        <f aca="false">IFERROR(INDEX(field_dictionary!$C:$C,MATCH($D108,field_dictionary!$A:$A,0)),"")</f>
        <v>ARM</v>
      </c>
      <c r="G108" s="15" t="s">
        <v>256</v>
      </c>
      <c r="H108" s="15" t="s">
        <v>228</v>
      </c>
      <c r="I108" s="15" t="s">
        <v>155</v>
      </c>
      <c r="J108" s="15" t="s">
        <v>242</v>
      </c>
      <c r="K108" s="15" t="s">
        <v>508</v>
      </c>
      <c r="L108" s="15" t="s">
        <v>171</v>
      </c>
      <c r="M108" s="15" t="s">
        <v>62</v>
      </c>
      <c r="N108" s="15" t="s">
        <v>524</v>
      </c>
      <c r="O108" s="25" t="n">
        <v>7.3</v>
      </c>
      <c r="P108" s="25"/>
      <c r="Q108" s="25"/>
      <c r="R108" s="15" t="s">
        <v>160</v>
      </c>
      <c r="S108" s="15"/>
      <c r="T108" s="15"/>
      <c r="U108" s="15" t="s">
        <v>402</v>
      </c>
      <c r="V108" s="15" t="s">
        <v>445</v>
      </c>
      <c r="W108" s="15" t="n">
        <v>111</v>
      </c>
      <c r="X108" s="15" t="s">
        <v>511</v>
      </c>
      <c r="Y108" s="15" t="s">
        <v>512</v>
      </c>
      <c r="Z108" s="15" t="s">
        <v>163</v>
      </c>
      <c r="AA108" s="15" t="s">
        <v>522</v>
      </c>
      <c r="AB108" s="15"/>
      <c r="AC108" s="15"/>
      <c r="AD108" s="15" t="s">
        <v>177</v>
      </c>
      <c r="AE108" s="26"/>
      <c r="AF108" s="27"/>
      <c r="AG108" s="27"/>
      <c r="AH108" s="27"/>
      <c r="AI108" s="26"/>
      <c r="AJ108" s="14" t="str">
        <f aca="false">IF(AE108="","",IF(AND(AE108=M108,ABS(N(AF108)-N(O108))&lt;=0.01,ABS(N(AG108)-N(P108))&lt;=0.01,ABS(N(AH108)-N(Q108))&lt;=0.01),"Y","N"))</f>
        <v/>
      </c>
      <c r="AK108" s="15"/>
      <c r="AL108" s="25"/>
      <c r="AM108" s="14" t="str">
        <f aca="false">IF(OR(AL108="",O108=""),"",IF(ABS(N(AL108)-N(O108))&lt;=0.01,"Y","N"))</f>
        <v/>
      </c>
      <c r="AN108" s="15" t="s">
        <v>11</v>
      </c>
      <c r="AO108" s="14" t="str">
        <f aca="false">IFERROR(INDEX(studies!$L:$L,MATCH($C108,studies!$A:$A,0)),"")</f>
        <v>Y</v>
      </c>
      <c r="AP108" s="14" t="str">
        <f aca="false">IF(AND(M108="REPORTED",V108=""),"출처 누락",IF(AND(M108="NOT_FOUND",AC108=""),"검색범위 누락",IF(F108="ARM",IF(OR(H108="",H108="NA"),"arm 누락","OK"),IF(F108="COMPARISON",IF(OR(I108="",I108="NA"),"비교쌍 누락",IF(OR(G108="",G108="NA"),"analysis_id 누락","OK")),IF(F108="","","OK")))))</f>
        <v>OK</v>
      </c>
      <c r="AQ108" s="15"/>
    </row>
    <row r="109" customFormat="false" ht="46.25" hidden="false" customHeight="false" outlineLevel="0" collapsed="false">
      <c r="A109" s="15" t="s">
        <v>525</v>
      </c>
      <c r="B109" s="15" t="s">
        <v>443</v>
      </c>
      <c r="C109" s="15" t="s">
        <v>82</v>
      </c>
      <c r="D109" s="15" t="s">
        <v>255</v>
      </c>
      <c r="E109" s="14" t="str">
        <f aca="false">IFERROR(INDEX(field_dictionary!$B:$B,MATCH($D109,field_dictionary!$A:$A,0)),"")</f>
        <v>IMMUNO</v>
      </c>
      <c r="F109" s="14" t="str">
        <f aca="false">IFERROR(INDEX(field_dictionary!$C:$C,MATCH($D109,field_dictionary!$A:$A,0)),"")</f>
        <v>ARM</v>
      </c>
      <c r="G109" s="15" t="s">
        <v>256</v>
      </c>
      <c r="H109" s="15" t="s">
        <v>230</v>
      </c>
      <c r="I109" s="15" t="s">
        <v>155</v>
      </c>
      <c r="J109" s="15" t="s">
        <v>242</v>
      </c>
      <c r="K109" s="15" t="s">
        <v>508</v>
      </c>
      <c r="L109" s="15" t="s">
        <v>171</v>
      </c>
      <c r="M109" s="15" t="s">
        <v>62</v>
      </c>
      <c r="N109" s="15" t="s">
        <v>526</v>
      </c>
      <c r="O109" s="25" t="n">
        <v>11.5</v>
      </c>
      <c r="P109" s="25"/>
      <c r="Q109" s="25"/>
      <c r="R109" s="15" t="s">
        <v>160</v>
      </c>
      <c r="S109" s="15"/>
      <c r="T109" s="15"/>
      <c r="U109" s="15" t="s">
        <v>402</v>
      </c>
      <c r="V109" s="15" t="s">
        <v>445</v>
      </c>
      <c r="W109" s="15" t="n">
        <v>111</v>
      </c>
      <c r="X109" s="15" t="s">
        <v>511</v>
      </c>
      <c r="Y109" s="15" t="s">
        <v>512</v>
      </c>
      <c r="Z109" s="15" t="s">
        <v>163</v>
      </c>
      <c r="AA109" s="15" t="s">
        <v>522</v>
      </c>
      <c r="AB109" s="15"/>
      <c r="AC109" s="15"/>
      <c r="AD109" s="15" t="s">
        <v>177</v>
      </c>
      <c r="AE109" s="26"/>
      <c r="AF109" s="27"/>
      <c r="AG109" s="27"/>
      <c r="AH109" s="27"/>
      <c r="AI109" s="26"/>
      <c r="AJ109" s="14" t="str">
        <f aca="false">IF(AE109="","",IF(AND(AE109=M109,ABS(N(AF109)-N(O109))&lt;=0.01,ABS(N(AG109)-N(P109))&lt;=0.01,ABS(N(AH109)-N(Q109))&lt;=0.01),"Y","N"))</f>
        <v/>
      </c>
      <c r="AK109" s="15"/>
      <c r="AL109" s="25"/>
      <c r="AM109" s="14" t="str">
        <f aca="false">IF(OR(AL109="",O109=""),"",IF(ABS(N(AL109)-N(O109))&lt;=0.01,"Y","N"))</f>
        <v/>
      </c>
      <c r="AN109" s="15" t="s">
        <v>11</v>
      </c>
      <c r="AO109" s="14" t="str">
        <f aca="false">IFERROR(INDEX(studies!$L:$L,MATCH($C109,studies!$A:$A,0)),"")</f>
        <v>Y</v>
      </c>
      <c r="AP109" s="14" t="str">
        <f aca="false">IF(AND(M109="REPORTED",V109=""),"출처 누락",IF(AND(M109="NOT_FOUND",AC109=""),"검색범위 누락",IF(F109="ARM",IF(OR(H109="",H109="NA"),"arm 누락","OK"),IF(F109="COMPARISON",IF(OR(I109="",I109="NA"),"비교쌍 누락",IF(OR(G109="",G109="NA"),"analysis_id 누락","OK")),IF(F109="","","OK")))))</f>
        <v>OK</v>
      </c>
      <c r="AQ109" s="15"/>
    </row>
    <row r="110" customFormat="false" ht="23.85" hidden="false" customHeight="false" outlineLevel="0" collapsed="false">
      <c r="A110" s="15" t="s">
        <v>527</v>
      </c>
      <c r="B110" s="15" t="s">
        <v>443</v>
      </c>
      <c r="C110" s="15" t="s">
        <v>82</v>
      </c>
      <c r="D110" s="15" t="s">
        <v>264</v>
      </c>
      <c r="E110" s="14" t="str">
        <f aca="false">IFERROR(INDEX(field_dictionary!$B:$B,MATCH($D110,field_dictionary!$A:$A,0)),"")</f>
        <v>PK</v>
      </c>
      <c r="F110" s="14" t="str">
        <f aca="false">IFERROR(INDEX(field_dictionary!$C:$C,MATCH($D110,field_dictionary!$A:$A,0)),"")</f>
        <v>COMPARISON</v>
      </c>
      <c r="G110" s="15" t="s">
        <v>154</v>
      </c>
      <c r="H110" s="15" t="s">
        <v>155</v>
      </c>
      <c r="I110" s="15" t="s">
        <v>265</v>
      </c>
      <c r="J110" s="15" t="s">
        <v>233</v>
      </c>
      <c r="K110" s="15" t="s">
        <v>266</v>
      </c>
      <c r="L110" s="15" t="s">
        <v>171</v>
      </c>
      <c r="M110" s="15" t="s">
        <v>62</v>
      </c>
      <c r="N110" s="15" t="s">
        <v>528</v>
      </c>
      <c r="O110" s="25" t="n">
        <v>124.36</v>
      </c>
      <c r="P110" s="25" t="n">
        <v>115.58</v>
      </c>
      <c r="Q110" s="25" t="n">
        <v>133.82</v>
      </c>
      <c r="R110" s="15" t="s">
        <v>160</v>
      </c>
      <c r="S110" s="15" t="n">
        <v>79</v>
      </c>
      <c r="T110" s="15" t="n">
        <v>81</v>
      </c>
      <c r="U110" s="15"/>
      <c r="V110" s="15" t="s">
        <v>445</v>
      </c>
      <c r="W110" s="15" t="n">
        <v>35</v>
      </c>
      <c r="X110" s="15" t="s">
        <v>529</v>
      </c>
      <c r="Y110" s="15" t="s">
        <v>530</v>
      </c>
      <c r="Z110" s="15" t="s">
        <v>163</v>
      </c>
      <c r="AA110" s="15" t="s">
        <v>531</v>
      </c>
      <c r="AB110" s="15"/>
      <c r="AC110" s="15"/>
      <c r="AD110" s="15" t="s">
        <v>177</v>
      </c>
      <c r="AE110" s="26"/>
      <c r="AF110" s="27"/>
      <c r="AG110" s="27"/>
      <c r="AH110" s="27"/>
      <c r="AI110" s="26"/>
      <c r="AJ110" s="14" t="str">
        <f aca="false">IF(AE110="","",IF(AND(AE110=M110,ABS(N(AF110)-N(O110))&lt;=0.01,ABS(N(AG110)-N(P110))&lt;=0.01,ABS(N(AH110)-N(Q110))&lt;=0.01),"Y","N"))</f>
        <v/>
      </c>
      <c r="AK110" s="15" t="s">
        <v>272</v>
      </c>
      <c r="AL110" s="25" t="n">
        <v>124.36</v>
      </c>
      <c r="AM110" s="14" t="str">
        <f aca="false">IF(OR(AL110="",O110=""),"",IF(ABS(N(AL110)-N(O110))&lt;=0.01,"Y","N"))</f>
        <v>Y</v>
      </c>
      <c r="AN110" s="15" t="s">
        <v>11</v>
      </c>
      <c r="AO110" s="14" t="str">
        <f aca="false">IFERROR(INDEX(studies!$L:$L,MATCH($C110,studies!$A:$A,0)),"")</f>
        <v>Y</v>
      </c>
      <c r="AP110" s="14" t="str">
        <f aca="false">IF(AND(M110="REPORTED",V110=""),"출처 누락",IF(AND(M110="NOT_FOUND",AC110=""),"검색범위 누락",IF(F110="ARM",IF(OR(H110="",H110="NA"),"arm 누락","OK"),IF(F110="COMPARISON",IF(OR(I110="",I110="NA"),"비교쌍 누락",IF(OR(G110="",G110="NA"),"analysis_id 누락","OK")),IF(F110="","","OK")))))</f>
        <v>OK</v>
      </c>
      <c r="AQ110" s="15" t="s">
        <v>532</v>
      </c>
    </row>
    <row r="111" customFormat="false" ht="23.85" hidden="false" customHeight="false" outlineLevel="0" collapsed="false">
      <c r="A111" s="15" t="s">
        <v>533</v>
      </c>
      <c r="B111" s="15" t="s">
        <v>443</v>
      </c>
      <c r="C111" s="15" t="s">
        <v>82</v>
      </c>
      <c r="D111" s="15" t="s">
        <v>264</v>
      </c>
      <c r="E111" s="14" t="str">
        <f aca="false">IFERROR(INDEX(field_dictionary!$B:$B,MATCH($D111,field_dictionary!$A:$A,0)),"")</f>
        <v>PK</v>
      </c>
      <c r="F111" s="14" t="str">
        <f aca="false">IFERROR(INDEX(field_dictionary!$C:$C,MATCH($D111,field_dictionary!$A:$A,0)),"")</f>
        <v>COMPARISON</v>
      </c>
      <c r="G111" s="15" t="s">
        <v>154</v>
      </c>
      <c r="H111" s="15" t="s">
        <v>155</v>
      </c>
      <c r="I111" s="15" t="s">
        <v>275</v>
      </c>
      <c r="J111" s="15" t="s">
        <v>233</v>
      </c>
      <c r="K111" s="15" t="s">
        <v>266</v>
      </c>
      <c r="L111" s="15" t="s">
        <v>171</v>
      </c>
      <c r="M111" s="15" t="s">
        <v>62</v>
      </c>
      <c r="N111" s="15" t="s">
        <v>534</v>
      </c>
      <c r="O111" s="25" t="n">
        <v>126.4</v>
      </c>
      <c r="P111" s="25" t="n">
        <v>117.37</v>
      </c>
      <c r="Q111" s="25" t="n">
        <v>136.13</v>
      </c>
      <c r="R111" s="15" t="s">
        <v>160</v>
      </c>
      <c r="S111" s="15" t="n">
        <v>79</v>
      </c>
      <c r="T111" s="15" t="n">
        <v>77</v>
      </c>
      <c r="U111" s="15"/>
      <c r="V111" s="15" t="s">
        <v>445</v>
      </c>
      <c r="W111" s="15" t="n">
        <v>35</v>
      </c>
      <c r="X111" s="15" t="s">
        <v>529</v>
      </c>
      <c r="Y111" s="15" t="s">
        <v>530</v>
      </c>
      <c r="Z111" s="15" t="s">
        <v>163</v>
      </c>
      <c r="AA111" s="15" t="s">
        <v>535</v>
      </c>
      <c r="AB111" s="15"/>
      <c r="AC111" s="15"/>
      <c r="AD111" s="15" t="s">
        <v>177</v>
      </c>
      <c r="AE111" s="26"/>
      <c r="AF111" s="27"/>
      <c r="AG111" s="27"/>
      <c r="AH111" s="27"/>
      <c r="AI111" s="26"/>
      <c r="AJ111" s="14" t="str">
        <f aca="false">IF(AE111="","",IF(AND(AE111=M111,ABS(N(AF111)-N(O111))&lt;=0.01,ABS(N(AG111)-N(P111))&lt;=0.01,ABS(N(AH111)-N(Q111))&lt;=0.01),"Y","N"))</f>
        <v/>
      </c>
      <c r="AK111" s="15"/>
      <c r="AL111" s="25"/>
      <c r="AM111" s="14" t="str">
        <f aca="false">IF(OR(AL111="",O111=""),"",IF(ABS(N(AL111)-N(O111))&lt;=0.01,"Y","N"))</f>
        <v/>
      </c>
      <c r="AN111" s="15" t="s">
        <v>11</v>
      </c>
      <c r="AO111" s="14" t="str">
        <f aca="false">IFERROR(INDEX(studies!$L:$L,MATCH($C111,studies!$A:$A,0)),"")</f>
        <v>Y</v>
      </c>
      <c r="AP111" s="14" t="str">
        <f aca="false">IF(AND(M111="REPORTED",V111=""),"출처 누락",IF(AND(M111="NOT_FOUND",AC111=""),"검색범위 누락",IF(F111="ARM",IF(OR(H111="",H111="NA"),"arm 누락","OK"),IF(F111="COMPARISON",IF(OR(I111="",I111="NA"),"비교쌍 누락",IF(OR(G111="",G111="NA"),"analysis_id 누락","OK")),IF(F111="","","OK")))))</f>
        <v>OK</v>
      </c>
      <c r="AQ111" s="15" t="s">
        <v>532</v>
      </c>
    </row>
    <row r="112" customFormat="false" ht="23.85" hidden="false" customHeight="false" outlineLevel="0" collapsed="false">
      <c r="A112" s="15" t="s">
        <v>536</v>
      </c>
      <c r="B112" s="15" t="s">
        <v>443</v>
      </c>
      <c r="C112" s="15" t="s">
        <v>82</v>
      </c>
      <c r="D112" s="15" t="s">
        <v>264</v>
      </c>
      <c r="E112" s="14" t="str">
        <f aca="false">IFERROR(INDEX(field_dictionary!$B:$B,MATCH($D112,field_dictionary!$A:$A,0)),"")</f>
        <v>PK</v>
      </c>
      <c r="F112" s="14" t="str">
        <f aca="false">IFERROR(INDEX(field_dictionary!$C:$C,MATCH($D112,field_dictionary!$A:$A,0)),"")</f>
        <v>COMPARISON</v>
      </c>
      <c r="G112" s="15" t="s">
        <v>154</v>
      </c>
      <c r="H112" s="15" t="s">
        <v>155</v>
      </c>
      <c r="I112" s="15" t="s">
        <v>279</v>
      </c>
      <c r="J112" s="15" t="s">
        <v>233</v>
      </c>
      <c r="K112" s="15" t="s">
        <v>266</v>
      </c>
      <c r="L112" s="15" t="s">
        <v>171</v>
      </c>
      <c r="M112" s="15" t="s">
        <v>62</v>
      </c>
      <c r="N112" s="15" t="s">
        <v>537</v>
      </c>
      <c r="O112" s="25" t="n">
        <v>101.64</v>
      </c>
      <c r="P112" s="25" t="n">
        <v>94.42</v>
      </c>
      <c r="Q112" s="25" t="n">
        <v>109.41</v>
      </c>
      <c r="R112" s="15" t="s">
        <v>160</v>
      </c>
      <c r="S112" s="15" t="n">
        <v>81</v>
      </c>
      <c r="T112" s="15" t="n">
        <v>77</v>
      </c>
      <c r="U112" s="15"/>
      <c r="V112" s="15" t="s">
        <v>445</v>
      </c>
      <c r="W112" s="15" t="n">
        <v>35</v>
      </c>
      <c r="X112" s="15" t="s">
        <v>529</v>
      </c>
      <c r="Y112" s="15" t="s">
        <v>530</v>
      </c>
      <c r="Z112" s="15" t="s">
        <v>163</v>
      </c>
      <c r="AA112" s="15" t="s">
        <v>538</v>
      </c>
      <c r="AB112" s="15"/>
      <c r="AC112" s="15"/>
      <c r="AD112" s="15" t="s">
        <v>177</v>
      </c>
      <c r="AE112" s="26"/>
      <c r="AF112" s="27"/>
      <c r="AG112" s="27"/>
      <c r="AH112" s="27"/>
      <c r="AI112" s="26"/>
      <c r="AJ112" s="14" t="str">
        <f aca="false">IF(AE112="","",IF(AND(AE112=M112,ABS(N(AF112)-N(O112))&lt;=0.01,ABS(N(AG112)-N(P112))&lt;=0.01,ABS(N(AH112)-N(Q112))&lt;=0.01),"Y","N"))</f>
        <v/>
      </c>
      <c r="AK112" s="15"/>
      <c r="AL112" s="25"/>
      <c r="AM112" s="14" t="str">
        <f aca="false">IF(OR(AL112="",O112=""),"",IF(ABS(N(AL112)-N(O112))&lt;=0.01,"Y","N"))</f>
        <v/>
      </c>
      <c r="AN112" s="15" t="s">
        <v>11</v>
      </c>
      <c r="AO112" s="14" t="str">
        <f aca="false">IFERROR(INDEX(studies!$L:$L,MATCH($C112,studies!$A:$A,0)),"")</f>
        <v>Y</v>
      </c>
      <c r="AP112" s="14" t="str">
        <f aca="false">IF(AND(M112="REPORTED",V112=""),"출처 누락",IF(AND(M112="NOT_FOUND",AC112=""),"검색범위 누락",IF(F112="ARM",IF(OR(H112="",H112="NA"),"arm 누락","OK"),IF(F112="COMPARISON",IF(OR(I112="",I112="NA"),"비교쌍 누락",IF(OR(G112="",G112="NA"),"analysis_id 누락","OK")),IF(F112="","","OK")))))</f>
        <v>OK</v>
      </c>
      <c r="AQ112" s="13" t="s">
        <v>539</v>
      </c>
    </row>
    <row r="113" customFormat="false" ht="23.85" hidden="false" customHeight="false" outlineLevel="0" collapsed="false">
      <c r="A113" s="15" t="s">
        <v>540</v>
      </c>
      <c r="B113" s="15" t="s">
        <v>443</v>
      </c>
      <c r="C113" s="15" t="s">
        <v>82</v>
      </c>
      <c r="D113" s="15" t="s">
        <v>166</v>
      </c>
      <c r="E113" s="14" t="str">
        <f aca="false">IFERROR(INDEX(field_dictionary!$B:$B,MATCH($D113,field_dictionary!$A:$A,0)),"")</f>
        <v>PK</v>
      </c>
      <c r="F113" s="14" t="str">
        <f aca="false">IFERROR(INDEX(field_dictionary!$C:$C,MATCH($D113,field_dictionary!$A:$A,0)),"")</f>
        <v>COMPARISON</v>
      </c>
      <c r="G113" s="15" t="s">
        <v>154</v>
      </c>
      <c r="H113" s="15" t="s">
        <v>155</v>
      </c>
      <c r="I113" s="15" t="s">
        <v>265</v>
      </c>
      <c r="J113" s="15" t="s">
        <v>233</v>
      </c>
      <c r="K113" s="15" t="s">
        <v>266</v>
      </c>
      <c r="L113" s="15" t="s">
        <v>171</v>
      </c>
      <c r="M113" s="15" t="s">
        <v>62</v>
      </c>
      <c r="N113" s="15" t="s">
        <v>541</v>
      </c>
      <c r="O113" s="25" t="n">
        <v>116.18</v>
      </c>
      <c r="P113" s="25" t="n">
        <v>108.42</v>
      </c>
      <c r="Q113" s="25" t="n">
        <v>124.49</v>
      </c>
      <c r="R113" s="15" t="s">
        <v>160</v>
      </c>
      <c r="S113" s="15" t="n">
        <v>80</v>
      </c>
      <c r="T113" s="15" t="n">
        <v>81</v>
      </c>
      <c r="U113" s="15"/>
      <c r="V113" s="15" t="s">
        <v>445</v>
      </c>
      <c r="W113" s="15" t="n">
        <v>35</v>
      </c>
      <c r="X113" s="15" t="s">
        <v>529</v>
      </c>
      <c r="Y113" s="15" t="s">
        <v>530</v>
      </c>
      <c r="Z113" s="15" t="s">
        <v>163</v>
      </c>
      <c r="AA113" s="15" t="s">
        <v>542</v>
      </c>
      <c r="AB113" s="15"/>
      <c r="AC113" s="15"/>
      <c r="AD113" s="15" t="s">
        <v>177</v>
      </c>
      <c r="AE113" s="26"/>
      <c r="AF113" s="27"/>
      <c r="AG113" s="27"/>
      <c r="AH113" s="27"/>
      <c r="AI113" s="26"/>
      <c r="AJ113" s="14" t="str">
        <f aca="false">IF(AE113="","",IF(AND(AE113=M113,ABS(N(AF113)-N(O113))&lt;=0.01,ABS(N(AG113)-N(P113))&lt;=0.01,ABS(N(AH113)-N(Q113))&lt;=0.01),"Y","N"))</f>
        <v/>
      </c>
      <c r="AK113" s="15" t="s">
        <v>272</v>
      </c>
      <c r="AL113" s="25" t="n">
        <v>116.18</v>
      </c>
      <c r="AM113" s="14" t="str">
        <f aca="false">IF(OR(AL113="",O113=""),"",IF(ABS(N(AL113)-N(O113))&lt;=0.01,"Y","N"))</f>
        <v>Y</v>
      </c>
      <c r="AN113" s="15" t="s">
        <v>11</v>
      </c>
      <c r="AO113" s="14" t="str">
        <f aca="false">IFERROR(INDEX(studies!$L:$L,MATCH($C113,studies!$A:$A,0)),"")</f>
        <v>Y</v>
      </c>
      <c r="AP113" s="14" t="str">
        <f aca="false">IF(AND(M113="REPORTED",V113=""),"출처 누락",IF(AND(M113="NOT_FOUND",AC113=""),"검색범위 누락",IF(F113="ARM",IF(OR(H113="",H113="NA"),"arm 누락","OK"),IF(F113="COMPARISON",IF(OR(I113="",I113="NA"),"비교쌍 누락",IF(OR(G113="",G113="NA"),"analysis_id 누락","OK")),IF(F113="","","OK")))))</f>
        <v>OK</v>
      </c>
      <c r="AQ113" s="13" t="s">
        <v>539</v>
      </c>
    </row>
    <row r="114" customFormat="false" ht="23.85" hidden="false" customHeight="false" outlineLevel="0" collapsed="false">
      <c r="A114" s="15" t="s">
        <v>543</v>
      </c>
      <c r="B114" s="15" t="s">
        <v>443</v>
      </c>
      <c r="C114" s="15" t="s">
        <v>82</v>
      </c>
      <c r="D114" s="15" t="s">
        <v>166</v>
      </c>
      <c r="E114" s="14" t="str">
        <f aca="false">IFERROR(INDEX(field_dictionary!$B:$B,MATCH($D114,field_dictionary!$A:$A,0)),"")</f>
        <v>PK</v>
      </c>
      <c r="F114" s="14" t="str">
        <f aca="false">IFERROR(INDEX(field_dictionary!$C:$C,MATCH($D114,field_dictionary!$A:$A,0)),"")</f>
        <v>COMPARISON</v>
      </c>
      <c r="G114" s="15" t="s">
        <v>154</v>
      </c>
      <c r="H114" s="15" t="s">
        <v>155</v>
      </c>
      <c r="I114" s="15" t="s">
        <v>275</v>
      </c>
      <c r="J114" s="15" t="s">
        <v>233</v>
      </c>
      <c r="K114" s="15" t="s">
        <v>266</v>
      </c>
      <c r="L114" s="15" t="s">
        <v>171</v>
      </c>
      <c r="M114" s="15" t="s">
        <v>62</v>
      </c>
      <c r="N114" s="15" t="s">
        <v>544</v>
      </c>
      <c r="O114" s="25" t="n">
        <v>112.02</v>
      </c>
      <c r="P114" s="25" t="n">
        <v>104.45</v>
      </c>
      <c r="Q114" s="25" t="n">
        <v>120.13</v>
      </c>
      <c r="R114" s="15" t="s">
        <v>160</v>
      </c>
      <c r="S114" s="15" t="n">
        <v>80</v>
      </c>
      <c r="T114" s="15" t="n">
        <v>77</v>
      </c>
      <c r="U114" s="15"/>
      <c r="V114" s="15" t="s">
        <v>445</v>
      </c>
      <c r="W114" s="15" t="n">
        <v>35</v>
      </c>
      <c r="X114" s="15" t="s">
        <v>529</v>
      </c>
      <c r="Y114" s="15" t="s">
        <v>530</v>
      </c>
      <c r="Z114" s="15" t="s">
        <v>163</v>
      </c>
      <c r="AA114" s="15" t="s">
        <v>545</v>
      </c>
      <c r="AB114" s="15"/>
      <c r="AC114" s="15"/>
      <c r="AD114" s="15" t="s">
        <v>177</v>
      </c>
      <c r="AE114" s="26"/>
      <c r="AF114" s="27"/>
      <c r="AG114" s="27"/>
      <c r="AH114" s="27"/>
      <c r="AI114" s="26"/>
      <c r="AJ114" s="14" t="str">
        <f aca="false">IF(AE114="","",IF(AND(AE114=M114,ABS(N(AF114)-N(O114))&lt;=0.01,ABS(N(AG114)-N(P114))&lt;=0.01,ABS(N(AH114)-N(Q114))&lt;=0.01),"Y","N"))</f>
        <v/>
      </c>
      <c r="AK114" s="15"/>
      <c r="AL114" s="25"/>
      <c r="AM114" s="14" t="str">
        <f aca="false">IF(OR(AL114="",O114=""),"",IF(ABS(N(AL114)-N(O114))&lt;=0.01,"Y","N"))</f>
        <v/>
      </c>
      <c r="AN114" s="15" t="s">
        <v>11</v>
      </c>
      <c r="AO114" s="14" t="str">
        <f aca="false">IFERROR(INDEX(studies!$L:$L,MATCH($C114,studies!$A:$A,0)),"")</f>
        <v>Y</v>
      </c>
      <c r="AP114" s="14" t="str">
        <f aca="false">IF(AND(M114="REPORTED",V114=""),"출처 누락",IF(AND(M114="NOT_FOUND",AC114=""),"검색범위 누락",IF(F114="ARM",IF(OR(H114="",H114="NA"),"arm 누락","OK"),IF(F114="COMPARISON",IF(OR(I114="",I114="NA"),"비교쌍 누락",IF(OR(G114="",G114="NA"),"analysis_id 누락","OK")),IF(F114="","","OK")))))</f>
        <v>OK</v>
      </c>
      <c r="AQ114" s="13" t="s">
        <v>539</v>
      </c>
    </row>
    <row r="115" customFormat="false" ht="23.85" hidden="false" customHeight="false" outlineLevel="0" collapsed="false">
      <c r="A115" s="15" t="s">
        <v>546</v>
      </c>
      <c r="B115" s="15" t="s">
        <v>443</v>
      </c>
      <c r="C115" s="15" t="s">
        <v>82</v>
      </c>
      <c r="D115" s="15" t="s">
        <v>166</v>
      </c>
      <c r="E115" s="14" t="str">
        <f aca="false">IFERROR(INDEX(field_dictionary!$B:$B,MATCH($D115,field_dictionary!$A:$A,0)),"")</f>
        <v>PK</v>
      </c>
      <c r="F115" s="14" t="str">
        <f aca="false">IFERROR(INDEX(field_dictionary!$C:$C,MATCH($D115,field_dictionary!$A:$A,0)),"")</f>
        <v>COMPARISON</v>
      </c>
      <c r="G115" s="15" t="s">
        <v>154</v>
      </c>
      <c r="H115" s="15" t="s">
        <v>155</v>
      </c>
      <c r="I115" s="15" t="s">
        <v>279</v>
      </c>
      <c r="J115" s="15" t="s">
        <v>233</v>
      </c>
      <c r="K115" s="15" t="s">
        <v>266</v>
      </c>
      <c r="L115" s="15" t="s">
        <v>171</v>
      </c>
      <c r="M115" s="15" t="s">
        <v>62</v>
      </c>
      <c r="N115" s="15" t="s">
        <v>547</v>
      </c>
      <c r="O115" s="25" t="n">
        <v>96.42</v>
      </c>
      <c r="P115" s="25" t="n">
        <v>89.92</v>
      </c>
      <c r="Q115" s="25" t="n">
        <v>103.38</v>
      </c>
      <c r="R115" s="15" t="s">
        <v>160</v>
      </c>
      <c r="S115" s="15" t="n">
        <v>81</v>
      </c>
      <c r="T115" s="15" t="n">
        <v>77</v>
      </c>
      <c r="U115" s="15"/>
      <c r="V115" s="15" t="s">
        <v>445</v>
      </c>
      <c r="W115" s="15" t="n">
        <v>35</v>
      </c>
      <c r="X115" s="15" t="s">
        <v>529</v>
      </c>
      <c r="Y115" s="15" t="s">
        <v>530</v>
      </c>
      <c r="Z115" s="15" t="s">
        <v>163</v>
      </c>
      <c r="AA115" s="15" t="s">
        <v>548</v>
      </c>
      <c r="AB115" s="15"/>
      <c r="AC115" s="15"/>
      <c r="AD115" s="15" t="s">
        <v>177</v>
      </c>
      <c r="AE115" s="26"/>
      <c r="AF115" s="27"/>
      <c r="AG115" s="27"/>
      <c r="AH115" s="27"/>
      <c r="AI115" s="26"/>
      <c r="AJ115" s="14" t="str">
        <f aca="false">IF(AE115="","",IF(AND(AE115=M115,ABS(N(AF115)-N(O115))&lt;=0.01,ABS(N(AG115)-N(P115))&lt;=0.01,ABS(N(AH115)-N(Q115))&lt;=0.01),"Y","N"))</f>
        <v/>
      </c>
      <c r="AK115" s="15"/>
      <c r="AL115" s="25"/>
      <c r="AM115" s="14" t="str">
        <f aca="false">IF(OR(AL115="",O115=""),"",IF(ABS(N(AL115)-N(O115))&lt;=0.01,"Y","N"))</f>
        <v/>
      </c>
      <c r="AN115" s="15" t="s">
        <v>11</v>
      </c>
      <c r="AO115" s="14" t="str">
        <f aca="false">IFERROR(INDEX(studies!$L:$L,MATCH($C115,studies!$A:$A,0)),"")</f>
        <v>Y</v>
      </c>
      <c r="AP115" s="14" t="str">
        <f aca="false">IF(AND(M115="REPORTED",V115=""),"출처 누락",IF(AND(M115="NOT_FOUND",AC115=""),"검색범위 누락",IF(F115="ARM",IF(OR(H115="",H115="NA"),"arm 누락","OK"),IF(F115="COMPARISON",IF(OR(I115="",I115="NA"),"비교쌍 누락",IF(OR(G115="",G115="NA"),"analysis_id 누락","OK")),IF(F115="","","OK")))))</f>
        <v>OK</v>
      </c>
      <c r="AQ115" s="13" t="s">
        <v>539</v>
      </c>
    </row>
    <row r="116" customFormat="false" ht="29.85" hidden="false" customHeight="false" outlineLevel="0" collapsed="false">
      <c r="A116" s="15" t="s">
        <v>549</v>
      </c>
      <c r="B116" s="15" t="s">
        <v>443</v>
      </c>
      <c r="C116" s="15" t="s">
        <v>82</v>
      </c>
      <c r="D116" s="15" t="s">
        <v>286</v>
      </c>
      <c r="E116" s="14" t="str">
        <f aca="false">IFERROR(INDEX(field_dictionary!$B:$B,MATCH($D116,field_dictionary!$A:$A,0)),"")</f>
        <v>PK</v>
      </c>
      <c r="F116" s="14" t="str">
        <f aca="false">IFERROR(INDEX(field_dictionary!$C:$C,MATCH($D116,field_dictionary!$A:$A,0)),"")</f>
        <v>COMPARISON</v>
      </c>
      <c r="G116" s="15" t="s">
        <v>154</v>
      </c>
      <c r="H116" s="15" t="s">
        <v>155</v>
      </c>
      <c r="I116" s="15" t="s">
        <v>265</v>
      </c>
      <c r="J116" s="15" t="s">
        <v>233</v>
      </c>
      <c r="K116" s="15" t="s">
        <v>266</v>
      </c>
      <c r="L116" s="15" t="s">
        <v>171</v>
      </c>
      <c r="M116" s="15" t="s">
        <v>66</v>
      </c>
      <c r="N116" s="15"/>
      <c r="O116" s="25"/>
      <c r="P116" s="25"/>
      <c r="Q116" s="25"/>
      <c r="R116" s="15"/>
      <c r="S116" s="15"/>
      <c r="T116" s="15"/>
      <c r="U116" s="15"/>
      <c r="V116" s="15" t="s">
        <v>445</v>
      </c>
      <c r="W116" s="15"/>
      <c r="X116" s="15"/>
      <c r="Y116" s="15"/>
      <c r="Z116" s="15"/>
      <c r="AA116" s="15"/>
      <c r="AB116" s="15"/>
      <c r="AC116" s="15" t="s">
        <v>550</v>
      </c>
      <c r="AD116" s="15" t="s">
        <v>259</v>
      </c>
      <c r="AE116" s="26"/>
      <c r="AF116" s="27"/>
      <c r="AG116" s="27"/>
      <c r="AH116" s="27"/>
      <c r="AI116" s="26"/>
      <c r="AJ116" s="14" t="str">
        <f aca="false">IF(AE116="","",IF(AND(AE116=M116,ABS(N(AF116)-N(O116))&lt;=0.01,ABS(N(AG116)-N(P116))&lt;=0.01,ABS(N(AH116)-N(Q116))&lt;=0.01),"Y","N"))</f>
        <v/>
      </c>
      <c r="AK116" s="15"/>
      <c r="AL116" s="25"/>
      <c r="AM116" s="14" t="str">
        <f aca="false">IF(OR(AL116="",O116=""),"",IF(ABS(N(AL116)-N(O116))&lt;=0.01,"Y","N"))</f>
        <v/>
      </c>
      <c r="AN116" s="15" t="s">
        <v>11</v>
      </c>
      <c r="AO116" s="14" t="str">
        <f aca="false">IFERROR(INDEX(studies!$L:$L,MATCH($C116,studies!$A:$A,0)),"")</f>
        <v>Y</v>
      </c>
      <c r="AP116" s="14" t="str">
        <f aca="false">IF(AND(M116="REPORTED",V116=""),"출처 누락",IF(AND(M116="NOT_FOUND",AC116=""),"검색범위 누락",IF(F116="ARM",IF(OR(H116="",H116="NA"),"arm 누락","OK"),IF(F116="COMPARISON",IF(OR(I116="",I116="NA"),"비교쌍 누락",IF(OR(G116="",G116="NA"),"analysis_id 누락","OK")),IF(F116="","","OK")))))</f>
        <v>OK</v>
      </c>
      <c r="AQ116" s="15"/>
    </row>
    <row r="117" customFormat="false" ht="29.85" hidden="false" customHeight="false" outlineLevel="0" collapsed="false">
      <c r="A117" s="15" t="s">
        <v>551</v>
      </c>
      <c r="B117" s="15" t="s">
        <v>443</v>
      </c>
      <c r="C117" s="15" t="s">
        <v>82</v>
      </c>
      <c r="D117" s="15" t="s">
        <v>286</v>
      </c>
      <c r="E117" s="14" t="str">
        <f aca="false">IFERROR(INDEX(field_dictionary!$B:$B,MATCH($D117,field_dictionary!$A:$A,0)),"")</f>
        <v>PK</v>
      </c>
      <c r="F117" s="14" t="str">
        <f aca="false">IFERROR(INDEX(field_dictionary!$C:$C,MATCH($D117,field_dictionary!$A:$A,0)),"")</f>
        <v>COMPARISON</v>
      </c>
      <c r="G117" s="15" t="s">
        <v>154</v>
      </c>
      <c r="H117" s="15" t="s">
        <v>155</v>
      </c>
      <c r="I117" s="15" t="s">
        <v>275</v>
      </c>
      <c r="J117" s="15" t="s">
        <v>233</v>
      </c>
      <c r="K117" s="15" t="s">
        <v>266</v>
      </c>
      <c r="L117" s="15" t="s">
        <v>171</v>
      </c>
      <c r="M117" s="15" t="s">
        <v>66</v>
      </c>
      <c r="N117" s="15"/>
      <c r="O117" s="25"/>
      <c r="P117" s="25"/>
      <c r="Q117" s="25"/>
      <c r="R117" s="15"/>
      <c r="S117" s="15"/>
      <c r="T117" s="15"/>
      <c r="U117" s="15"/>
      <c r="V117" s="15" t="s">
        <v>445</v>
      </c>
      <c r="W117" s="15"/>
      <c r="X117" s="15"/>
      <c r="Y117" s="15"/>
      <c r="Z117" s="15"/>
      <c r="AA117" s="15"/>
      <c r="AB117" s="15"/>
      <c r="AC117" s="15" t="s">
        <v>550</v>
      </c>
      <c r="AD117" s="15" t="s">
        <v>259</v>
      </c>
      <c r="AE117" s="26"/>
      <c r="AF117" s="27"/>
      <c r="AG117" s="27"/>
      <c r="AH117" s="27"/>
      <c r="AI117" s="26"/>
      <c r="AJ117" s="14" t="str">
        <f aca="false">IF(AE117="","",IF(AND(AE117=M117,ABS(N(AF117)-N(O117))&lt;=0.01,ABS(N(AG117)-N(P117))&lt;=0.01,ABS(N(AH117)-N(Q117))&lt;=0.01),"Y","N"))</f>
        <v/>
      </c>
      <c r="AK117" s="15"/>
      <c r="AL117" s="25"/>
      <c r="AM117" s="14" t="str">
        <f aca="false">IF(OR(AL117="",O117=""),"",IF(ABS(N(AL117)-N(O117))&lt;=0.01,"Y","N"))</f>
        <v/>
      </c>
      <c r="AN117" s="15" t="s">
        <v>11</v>
      </c>
      <c r="AO117" s="14" t="str">
        <f aca="false">IFERROR(INDEX(studies!$L:$L,MATCH($C117,studies!$A:$A,0)),"")</f>
        <v>Y</v>
      </c>
      <c r="AP117" s="14" t="str">
        <f aca="false">IF(AND(M117="REPORTED",V117=""),"출처 누락",IF(AND(M117="NOT_FOUND",AC117=""),"검색범위 누락",IF(F117="ARM",IF(OR(H117="",H117="NA"),"arm 누락","OK"),IF(F117="COMPARISON",IF(OR(I117="",I117="NA"),"비교쌍 누락",IF(OR(G117="",G117="NA"),"analysis_id 누락","OK")),IF(F117="","","OK")))))</f>
        <v>OK</v>
      </c>
      <c r="AQ117" s="15"/>
    </row>
    <row r="118" customFormat="false" ht="29.85" hidden="false" customHeight="false" outlineLevel="0" collapsed="false">
      <c r="A118" s="15" t="s">
        <v>552</v>
      </c>
      <c r="B118" s="15" t="s">
        <v>443</v>
      </c>
      <c r="C118" s="15" t="s">
        <v>82</v>
      </c>
      <c r="D118" s="15" t="s">
        <v>286</v>
      </c>
      <c r="E118" s="14" t="str">
        <f aca="false">IFERROR(INDEX(field_dictionary!$B:$B,MATCH($D118,field_dictionary!$A:$A,0)),"")</f>
        <v>PK</v>
      </c>
      <c r="F118" s="14" t="str">
        <f aca="false">IFERROR(INDEX(field_dictionary!$C:$C,MATCH($D118,field_dictionary!$A:$A,0)),"")</f>
        <v>COMPARISON</v>
      </c>
      <c r="G118" s="15" t="s">
        <v>154</v>
      </c>
      <c r="H118" s="15" t="s">
        <v>155</v>
      </c>
      <c r="I118" s="15" t="s">
        <v>279</v>
      </c>
      <c r="J118" s="15" t="s">
        <v>233</v>
      </c>
      <c r="K118" s="15" t="s">
        <v>266</v>
      </c>
      <c r="L118" s="15" t="s">
        <v>171</v>
      </c>
      <c r="M118" s="15" t="s">
        <v>66</v>
      </c>
      <c r="N118" s="15"/>
      <c r="O118" s="25"/>
      <c r="P118" s="25"/>
      <c r="Q118" s="25"/>
      <c r="R118" s="15"/>
      <c r="S118" s="15"/>
      <c r="T118" s="15"/>
      <c r="U118" s="15"/>
      <c r="V118" s="15" t="s">
        <v>445</v>
      </c>
      <c r="W118" s="15"/>
      <c r="X118" s="15"/>
      <c r="Y118" s="15"/>
      <c r="Z118" s="15"/>
      <c r="AA118" s="15"/>
      <c r="AB118" s="15"/>
      <c r="AC118" s="15" t="s">
        <v>550</v>
      </c>
      <c r="AD118" s="15" t="s">
        <v>259</v>
      </c>
      <c r="AE118" s="26"/>
      <c r="AF118" s="27"/>
      <c r="AG118" s="27"/>
      <c r="AH118" s="27"/>
      <c r="AI118" s="26"/>
      <c r="AJ118" s="14" t="str">
        <f aca="false">IF(AE118="","",IF(AND(AE118=M118,ABS(N(AF118)-N(O118))&lt;=0.01,ABS(N(AG118)-N(P118))&lt;=0.01,ABS(N(AH118)-N(Q118))&lt;=0.01),"Y","N"))</f>
        <v/>
      </c>
      <c r="AK118" s="15"/>
      <c r="AL118" s="25"/>
      <c r="AM118" s="14" t="str">
        <f aca="false">IF(OR(AL118="",O118=""),"",IF(ABS(N(AL118)-N(O118))&lt;=0.01,"Y","N"))</f>
        <v/>
      </c>
      <c r="AN118" s="15" t="s">
        <v>11</v>
      </c>
      <c r="AO118" s="14" t="str">
        <f aca="false">IFERROR(INDEX(studies!$L:$L,MATCH($C118,studies!$A:$A,0)),"")</f>
        <v>Y</v>
      </c>
      <c r="AP118" s="14" t="str">
        <f aca="false">IF(AND(M118="REPORTED",V118=""),"출처 누락",IF(AND(M118="NOT_FOUND",AC118=""),"검색범위 누락",IF(F118="ARM",IF(OR(H118="",H118="NA"),"arm 누락","OK"),IF(F118="COMPARISON",IF(OR(I118="",I118="NA"),"비교쌍 누락",IF(OR(G118="",G118="NA"),"analysis_id 누락","OK")),IF(F118="","","OK")))))</f>
        <v>OK</v>
      </c>
      <c r="AQ118" s="15"/>
    </row>
    <row r="119" customFormat="false" ht="46.25" hidden="false" customHeight="false" outlineLevel="0" collapsed="false">
      <c r="A119" s="15" t="s">
        <v>553</v>
      </c>
      <c r="B119" s="15" t="s">
        <v>443</v>
      </c>
      <c r="C119" s="15" t="s">
        <v>82</v>
      </c>
      <c r="D119" s="15" t="s">
        <v>291</v>
      </c>
      <c r="E119" s="14" t="str">
        <f aca="false">IFERROR(INDEX(field_dictionary!$B:$B,MATCH($D119,field_dictionary!$A:$A,0)),"")</f>
        <v>PK</v>
      </c>
      <c r="F119" s="14" t="str">
        <f aca="false">IFERROR(INDEX(field_dictionary!$C:$C,MATCH($D119,field_dictionary!$A:$A,0)),"")</f>
        <v>COMPARISON</v>
      </c>
      <c r="G119" s="15" t="s">
        <v>154</v>
      </c>
      <c r="H119" s="15" t="s">
        <v>155</v>
      </c>
      <c r="I119" s="15" t="s">
        <v>265</v>
      </c>
      <c r="J119" s="15" t="s">
        <v>233</v>
      </c>
      <c r="K119" s="15"/>
      <c r="L119" s="15" t="s">
        <v>171</v>
      </c>
      <c r="M119" s="15" t="s">
        <v>62</v>
      </c>
      <c r="N119" s="15" t="s">
        <v>554</v>
      </c>
      <c r="O119" s="25"/>
      <c r="P119" s="25"/>
      <c r="Q119" s="25"/>
      <c r="R119" s="15"/>
      <c r="S119" s="15"/>
      <c r="T119" s="15"/>
      <c r="U119" s="15"/>
      <c r="V119" s="15" t="s">
        <v>445</v>
      </c>
      <c r="W119" s="15" t="n">
        <v>35</v>
      </c>
      <c r="X119" s="15" t="s">
        <v>529</v>
      </c>
      <c r="Y119" s="15" t="s">
        <v>555</v>
      </c>
      <c r="Z119" s="15" t="s">
        <v>163</v>
      </c>
      <c r="AA119" s="15" t="s">
        <v>556</v>
      </c>
      <c r="AB119" s="15"/>
      <c r="AC119" s="15"/>
      <c r="AD119" s="15" t="s">
        <v>177</v>
      </c>
      <c r="AE119" s="26"/>
      <c r="AF119" s="27"/>
      <c r="AG119" s="27"/>
      <c r="AH119" s="27"/>
      <c r="AI119" s="26"/>
      <c r="AJ119" s="14" t="str">
        <f aca="false">IF(AE119="","",IF(AND(AE119=M119,ABS(N(AF119)-N(O119))&lt;=0.01,ABS(N(AG119)-N(P119))&lt;=0.01,ABS(N(AH119)-N(Q119))&lt;=0.01),"Y","N"))</f>
        <v/>
      </c>
      <c r="AK119" s="15"/>
      <c r="AL119" s="25"/>
      <c r="AM119" s="14" t="str">
        <f aca="false">IF(OR(AL119="",O119=""),"",IF(ABS(N(AL119)-N(O119))&lt;=0.01,"Y","N"))</f>
        <v/>
      </c>
      <c r="AN119" s="15" t="s">
        <v>11</v>
      </c>
      <c r="AO119" s="14" t="str">
        <f aca="false">IFERROR(INDEX(studies!$L:$L,MATCH($C119,studies!$A:$A,0)),"")</f>
        <v>Y</v>
      </c>
      <c r="AP119" s="14" t="str">
        <f aca="false">IF(AND(M119="REPORTED",V119=""),"출처 누락",IF(AND(M119="NOT_FOUND",AC119=""),"검색범위 누락",IF(F119="ARM",IF(OR(H119="",H119="NA"),"arm 누락","OK"),IF(F119="COMPARISON",IF(OR(I119="",I119="NA"),"비교쌍 누락",IF(OR(G119="",G119="NA"),"analysis_id 누락","OK")),IF(F119="","","OK")))))</f>
        <v>OK</v>
      </c>
      <c r="AQ119" s="15"/>
    </row>
    <row r="120" customFormat="false" ht="46.25" hidden="false" customHeight="false" outlineLevel="0" collapsed="false">
      <c r="A120" s="15" t="s">
        <v>557</v>
      </c>
      <c r="B120" s="15" t="s">
        <v>443</v>
      </c>
      <c r="C120" s="15" t="s">
        <v>82</v>
      </c>
      <c r="D120" s="15" t="s">
        <v>291</v>
      </c>
      <c r="E120" s="14" t="str">
        <f aca="false">IFERROR(INDEX(field_dictionary!$B:$B,MATCH($D120,field_dictionary!$A:$A,0)),"")</f>
        <v>PK</v>
      </c>
      <c r="F120" s="14" t="str">
        <f aca="false">IFERROR(INDEX(field_dictionary!$C:$C,MATCH($D120,field_dictionary!$A:$A,0)),"")</f>
        <v>COMPARISON</v>
      </c>
      <c r="G120" s="15" t="s">
        <v>154</v>
      </c>
      <c r="H120" s="15" t="s">
        <v>155</v>
      </c>
      <c r="I120" s="15" t="s">
        <v>275</v>
      </c>
      <c r="J120" s="15" t="s">
        <v>233</v>
      </c>
      <c r="K120" s="15"/>
      <c r="L120" s="15" t="s">
        <v>171</v>
      </c>
      <c r="M120" s="15" t="s">
        <v>62</v>
      </c>
      <c r="N120" s="15" t="s">
        <v>554</v>
      </c>
      <c r="O120" s="25"/>
      <c r="P120" s="25"/>
      <c r="Q120" s="25"/>
      <c r="R120" s="15"/>
      <c r="S120" s="15"/>
      <c r="T120" s="15"/>
      <c r="U120" s="15"/>
      <c r="V120" s="15" t="s">
        <v>445</v>
      </c>
      <c r="W120" s="15" t="n">
        <v>35</v>
      </c>
      <c r="X120" s="15" t="s">
        <v>529</v>
      </c>
      <c r="Y120" s="15" t="s">
        <v>555</v>
      </c>
      <c r="Z120" s="15" t="s">
        <v>163</v>
      </c>
      <c r="AA120" s="15" t="s">
        <v>556</v>
      </c>
      <c r="AB120" s="15"/>
      <c r="AC120" s="15"/>
      <c r="AD120" s="15" t="s">
        <v>177</v>
      </c>
      <c r="AE120" s="26"/>
      <c r="AF120" s="27"/>
      <c r="AG120" s="27"/>
      <c r="AH120" s="27"/>
      <c r="AI120" s="26"/>
      <c r="AJ120" s="14" t="str">
        <f aca="false">IF(AE120="","",IF(AND(AE120=M120,ABS(N(AF120)-N(O120))&lt;=0.01,ABS(N(AG120)-N(P120))&lt;=0.01,ABS(N(AH120)-N(Q120))&lt;=0.01),"Y","N"))</f>
        <v/>
      </c>
      <c r="AK120" s="15"/>
      <c r="AL120" s="25"/>
      <c r="AM120" s="14" t="str">
        <f aca="false">IF(OR(AL120="",O120=""),"",IF(ABS(N(AL120)-N(O120))&lt;=0.01,"Y","N"))</f>
        <v/>
      </c>
      <c r="AN120" s="15" t="s">
        <v>11</v>
      </c>
      <c r="AO120" s="14" t="str">
        <f aca="false">IFERROR(INDEX(studies!$L:$L,MATCH($C120,studies!$A:$A,0)),"")</f>
        <v>Y</v>
      </c>
      <c r="AP120" s="14" t="str">
        <f aca="false">IF(AND(M120="REPORTED",V120=""),"출처 누락",IF(AND(M120="NOT_FOUND",AC120=""),"검색범위 누락",IF(F120="ARM",IF(OR(H120="",H120="NA"),"arm 누락","OK"),IF(F120="COMPARISON",IF(OR(I120="",I120="NA"),"비교쌍 누락",IF(OR(G120="",G120="NA"),"analysis_id 누락","OK")),IF(F120="","","OK")))))</f>
        <v>OK</v>
      </c>
      <c r="AQ120" s="15"/>
    </row>
    <row r="121" customFormat="false" ht="46.25" hidden="false" customHeight="false" outlineLevel="0" collapsed="false">
      <c r="A121" s="15" t="s">
        <v>558</v>
      </c>
      <c r="B121" s="15" t="s">
        <v>443</v>
      </c>
      <c r="C121" s="15" t="s">
        <v>82</v>
      </c>
      <c r="D121" s="15" t="s">
        <v>291</v>
      </c>
      <c r="E121" s="14" t="str">
        <f aca="false">IFERROR(INDEX(field_dictionary!$B:$B,MATCH($D121,field_dictionary!$A:$A,0)),"")</f>
        <v>PK</v>
      </c>
      <c r="F121" s="14" t="str">
        <f aca="false">IFERROR(INDEX(field_dictionary!$C:$C,MATCH($D121,field_dictionary!$A:$A,0)),"")</f>
        <v>COMPARISON</v>
      </c>
      <c r="G121" s="15" t="s">
        <v>154</v>
      </c>
      <c r="H121" s="15" t="s">
        <v>155</v>
      </c>
      <c r="I121" s="15" t="s">
        <v>279</v>
      </c>
      <c r="J121" s="15" t="s">
        <v>233</v>
      </c>
      <c r="K121" s="15"/>
      <c r="L121" s="15" t="s">
        <v>171</v>
      </c>
      <c r="M121" s="29" t="s">
        <v>70</v>
      </c>
      <c r="N121" s="29" t="s">
        <v>559</v>
      </c>
      <c r="O121" s="25"/>
      <c r="P121" s="25"/>
      <c r="Q121" s="25"/>
      <c r="R121" s="15"/>
      <c r="S121" s="15"/>
      <c r="T121" s="15"/>
      <c r="U121" s="15"/>
      <c r="V121" s="15" t="s">
        <v>445</v>
      </c>
      <c r="W121" s="15" t="n">
        <v>35</v>
      </c>
      <c r="X121" s="15" t="s">
        <v>529</v>
      </c>
      <c r="Y121" s="15" t="s">
        <v>555</v>
      </c>
      <c r="Z121" s="15" t="s">
        <v>163</v>
      </c>
      <c r="AA121" s="15" t="s">
        <v>556</v>
      </c>
      <c r="AB121" s="15"/>
      <c r="AC121" s="15"/>
      <c r="AD121" s="15" t="s">
        <v>177</v>
      </c>
      <c r="AE121" s="26"/>
      <c r="AF121" s="27"/>
      <c r="AG121" s="27"/>
      <c r="AH121" s="27"/>
      <c r="AI121" s="26"/>
      <c r="AJ121" s="14" t="str">
        <f aca="false">IF(AE121="","",IF(AND(AE121=M121,ABS(N(AF121)-N(O121))&lt;=0.01,ABS(N(AG121)-N(P121))&lt;=0.01,ABS(N(AH121)-N(Q121))&lt;=0.01),"Y","N"))</f>
        <v/>
      </c>
      <c r="AK121" s="15"/>
      <c r="AL121" s="25"/>
      <c r="AM121" s="14" t="str">
        <f aca="false">IF(OR(AL121="",O121=""),"",IF(ABS(N(AL121)-N(O121))&lt;=0.01,"Y","N"))</f>
        <v/>
      </c>
      <c r="AN121" s="15" t="s">
        <v>11</v>
      </c>
      <c r="AO121" s="14" t="str">
        <f aca="false">IFERROR(INDEX(studies!$L:$L,MATCH($C121,studies!$A:$A,0)),"")</f>
        <v>Y</v>
      </c>
      <c r="AP121" s="14" t="str">
        <f aca="false">IF(AND(M121="REPORTED",V121=""),"출처 누락",IF(AND(M121="NOT_FOUND",AC121=""),"검색범위 누락",IF(F121="ARM",IF(OR(H121="",H121="NA"),"arm 누락","OK"),IF(F121="COMPARISON",IF(OR(I121="",I121="NA"),"비교쌍 누락",IF(OR(G121="",G121="NA"),"analysis_id 누락","OK")),IF(F121="","","OK")))))</f>
        <v>OK</v>
      </c>
      <c r="AQ121" s="13" t="s">
        <v>560</v>
      </c>
    </row>
    <row r="122" customFormat="false" ht="41" hidden="false" customHeight="false" outlineLevel="0" collapsed="false">
      <c r="A122" s="28" t="s">
        <v>561</v>
      </c>
      <c r="B122" s="28" t="s">
        <v>443</v>
      </c>
      <c r="C122" s="28" t="s">
        <v>82</v>
      </c>
      <c r="D122" s="28" t="s">
        <v>264</v>
      </c>
      <c r="E122" s="14" t="str">
        <f aca="false">IFERROR(INDEX(field_dictionary!$B:$B,MATCH($D122,field_dictionary!$A:$A,0)),"")</f>
        <v>PK</v>
      </c>
      <c r="F122" s="14" t="str">
        <f aca="false">IFERROR(INDEX(field_dictionary!$C:$C,MATCH($D122,field_dictionary!$A:$A,0)),"")</f>
        <v>COMPARISON</v>
      </c>
      <c r="G122" s="28" t="s">
        <v>562</v>
      </c>
      <c r="H122" s="28" t="s">
        <v>155</v>
      </c>
      <c r="I122" s="28" t="s">
        <v>265</v>
      </c>
      <c r="J122" s="28" t="s">
        <v>233</v>
      </c>
      <c r="K122" s="28" t="s">
        <v>266</v>
      </c>
      <c r="L122" s="28" t="s">
        <v>302</v>
      </c>
      <c r="M122" s="15" t="s">
        <v>62</v>
      </c>
      <c r="N122" s="15" t="s">
        <v>563</v>
      </c>
      <c r="O122" s="25" t="n">
        <v>124.59</v>
      </c>
      <c r="P122" s="25" t="n">
        <v>116.71</v>
      </c>
      <c r="Q122" s="25" t="n">
        <v>133.01</v>
      </c>
      <c r="R122" s="15" t="s">
        <v>160</v>
      </c>
      <c r="S122" s="15" t="n">
        <v>79</v>
      </c>
      <c r="T122" s="15" t="n">
        <v>81</v>
      </c>
      <c r="U122" s="15"/>
      <c r="V122" s="15" t="s">
        <v>445</v>
      </c>
      <c r="W122" s="15" t="n">
        <v>37</v>
      </c>
      <c r="X122" s="15" t="s">
        <v>564</v>
      </c>
      <c r="Y122" s="15" t="s">
        <v>565</v>
      </c>
      <c r="Z122" s="15" t="s">
        <v>315</v>
      </c>
      <c r="AA122" s="15"/>
      <c r="AB122" s="15"/>
      <c r="AC122" s="15"/>
      <c r="AD122" s="15" t="s">
        <v>316</v>
      </c>
      <c r="AE122" s="26"/>
      <c r="AF122" s="27"/>
      <c r="AG122" s="27"/>
      <c r="AH122" s="27"/>
      <c r="AI122" s="26"/>
      <c r="AJ122" s="14" t="str">
        <f aca="false">IF(AE122="","",IF(AND(AE122=M122,ABS(N(AF122)-N(O122))&lt;=0.01,ABS(N(AG122)-N(P122))&lt;=0.01,ABS(N(AH122)-N(Q122))&lt;=0.01),"Y","N"))</f>
        <v/>
      </c>
      <c r="AK122" s="15"/>
      <c r="AL122" s="25"/>
      <c r="AM122" s="14" t="str">
        <f aca="false">IF(OR(AL122="",O122=""),"",IF(ABS(N(AL122)-N(O122))&lt;=0.01,"Y","N"))</f>
        <v/>
      </c>
      <c r="AN122" s="15" t="s">
        <v>11</v>
      </c>
      <c r="AO122" s="14" t="str">
        <f aca="false">IFERROR(INDEX(studies!$L:$L,MATCH($C122,studies!$A:$A,0)),"")</f>
        <v>Y</v>
      </c>
      <c r="AP122" s="14" t="str">
        <f aca="false">IF(AND(M122="REPORTED",V122=""),"출처 누락",IF(AND(M122="NOT_FOUND",AC122=""),"검색범위 누락",IF(F122="ARM",IF(OR(H122="",H122="NA"),"arm 누락","OK"),IF(F122="COMPARISON",IF(OR(I122="",I122="NA"),"비교쌍 누락",IF(OR(G122="",G122="NA"),"analysis_id 누락","OK")),IF(F122="","","OK")))))</f>
        <v>OK</v>
      </c>
      <c r="AQ122" s="15" t="s">
        <v>566</v>
      </c>
    </row>
    <row r="123" customFormat="false" ht="41" hidden="false" customHeight="false" outlineLevel="0" collapsed="false">
      <c r="A123" s="28" t="s">
        <v>567</v>
      </c>
      <c r="B123" s="28" t="s">
        <v>443</v>
      </c>
      <c r="C123" s="28" t="s">
        <v>82</v>
      </c>
      <c r="D123" s="28" t="s">
        <v>166</v>
      </c>
      <c r="E123" s="14" t="str">
        <f aca="false">IFERROR(INDEX(field_dictionary!$B:$B,MATCH($D123,field_dictionary!$A:$A,0)),"")</f>
        <v>PK</v>
      </c>
      <c r="F123" s="14" t="str">
        <f aca="false">IFERROR(INDEX(field_dictionary!$C:$C,MATCH($D123,field_dictionary!$A:$A,0)),"")</f>
        <v>COMPARISON</v>
      </c>
      <c r="G123" s="28" t="s">
        <v>562</v>
      </c>
      <c r="H123" s="28" t="s">
        <v>155</v>
      </c>
      <c r="I123" s="28" t="s">
        <v>265</v>
      </c>
      <c r="J123" s="28" t="s">
        <v>233</v>
      </c>
      <c r="K123" s="28" t="s">
        <v>266</v>
      </c>
      <c r="L123" s="28" t="s">
        <v>302</v>
      </c>
      <c r="M123" s="15" t="s">
        <v>62</v>
      </c>
      <c r="N123" s="15" t="s">
        <v>568</v>
      </c>
      <c r="O123" s="25" t="n">
        <v>116.5</v>
      </c>
      <c r="P123" s="25" t="n">
        <v>109.05</v>
      </c>
      <c r="Q123" s="25" t="n">
        <v>124.46</v>
      </c>
      <c r="R123" s="15" t="s">
        <v>160</v>
      </c>
      <c r="S123" s="15" t="n">
        <v>80</v>
      </c>
      <c r="T123" s="15" t="n">
        <v>81</v>
      </c>
      <c r="U123" s="15"/>
      <c r="V123" s="15" t="s">
        <v>445</v>
      </c>
      <c r="W123" s="15" t="n">
        <v>37</v>
      </c>
      <c r="X123" s="15" t="s">
        <v>564</v>
      </c>
      <c r="Y123" s="15" t="s">
        <v>565</v>
      </c>
      <c r="Z123" s="15" t="s">
        <v>315</v>
      </c>
      <c r="AA123" s="15"/>
      <c r="AB123" s="15"/>
      <c r="AC123" s="15"/>
      <c r="AD123" s="15" t="s">
        <v>316</v>
      </c>
      <c r="AE123" s="26"/>
      <c r="AF123" s="27"/>
      <c r="AG123" s="27"/>
      <c r="AH123" s="27"/>
      <c r="AI123" s="26"/>
      <c r="AJ123" s="14" t="str">
        <f aca="false">IF(AE123="","",IF(AND(AE123=M123,ABS(N(AF123)-N(O123))&lt;=0.01,ABS(N(AG123)-N(P123))&lt;=0.01,ABS(N(AH123)-N(Q123))&lt;=0.01),"Y","N"))</f>
        <v/>
      </c>
      <c r="AK123" s="15"/>
      <c r="AL123" s="25"/>
      <c r="AM123" s="14" t="str">
        <f aca="false">IF(OR(AL123="",O123=""),"",IF(ABS(N(AL123)-N(O123))&lt;=0.01,"Y","N"))</f>
        <v/>
      </c>
      <c r="AN123" s="15" t="s">
        <v>11</v>
      </c>
      <c r="AO123" s="14" t="str">
        <f aca="false">IFERROR(INDEX(studies!$L:$L,MATCH($C123,studies!$A:$A,0)),"")</f>
        <v>Y</v>
      </c>
      <c r="AP123" s="14" t="str">
        <f aca="false">IF(AND(M123="REPORTED",V123=""),"출처 누락",IF(AND(M123="NOT_FOUND",AC123=""),"검색범위 누락",IF(F123="ARM",IF(OR(H123="",H123="NA"),"arm 누락","OK"),IF(F123="COMPARISON",IF(OR(I123="",I123="NA"),"비교쌍 누락",IF(OR(G123="",G123="NA"),"analysis_id 누락","OK")),IF(F123="","","OK")))))</f>
        <v>OK</v>
      </c>
      <c r="AQ123" s="15" t="s">
        <v>566</v>
      </c>
    </row>
    <row r="124" customFormat="false" ht="44" hidden="false" customHeight="false" outlineLevel="0" collapsed="false">
      <c r="A124" s="28" t="s">
        <v>569</v>
      </c>
      <c r="B124" s="28" t="s">
        <v>443</v>
      </c>
      <c r="C124" s="28" t="s">
        <v>82</v>
      </c>
      <c r="D124" s="28" t="s">
        <v>264</v>
      </c>
      <c r="E124" s="14" t="str">
        <f aca="false">IFERROR(INDEX(field_dictionary!$B:$B,MATCH($D124,field_dictionary!$A:$A,0)),"")</f>
        <v>PK</v>
      </c>
      <c r="F124" s="14" t="str">
        <f aca="false">IFERROR(INDEX(field_dictionary!$C:$C,MATCH($D124,field_dictionary!$A:$A,0)),"")</f>
        <v>COMPARISON</v>
      </c>
      <c r="G124" s="28" t="s">
        <v>570</v>
      </c>
      <c r="H124" s="28" t="s">
        <v>155</v>
      </c>
      <c r="I124" s="28" t="s">
        <v>265</v>
      </c>
      <c r="J124" s="28" t="s">
        <v>233</v>
      </c>
      <c r="K124" s="28" t="s">
        <v>266</v>
      </c>
      <c r="L124" s="28" t="s">
        <v>302</v>
      </c>
      <c r="M124" s="15" t="s">
        <v>62</v>
      </c>
      <c r="N124" s="15" t="s">
        <v>571</v>
      </c>
      <c r="O124" s="25" t="n">
        <v>114.32</v>
      </c>
      <c r="P124" s="25" t="n">
        <v>106.51</v>
      </c>
      <c r="Q124" s="25" t="n">
        <v>122.71</v>
      </c>
      <c r="R124" s="15" t="s">
        <v>160</v>
      </c>
      <c r="S124" s="15" t="n">
        <v>58</v>
      </c>
      <c r="T124" s="15" t="n">
        <v>49</v>
      </c>
      <c r="U124" s="15"/>
      <c r="V124" s="15" t="s">
        <v>445</v>
      </c>
      <c r="W124" s="15" t="n">
        <v>37</v>
      </c>
      <c r="X124" s="15" t="s">
        <v>564</v>
      </c>
      <c r="Y124" s="15" t="s">
        <v>572</v>
      </c>
      <c r="Z124" s="15" t="s">
        <v>315</v>
      </c>
      <c r="AA124" s="15"/>
      <c r="AB124" s="15"/>
      <c r="AC124" s="15"/>
      <c r="AD124" s="15" t="s">
        <v>316</v>
      </c>
      <c r="AE124" s="26"/>
      <c r="AF124" s="27"/>
      <c r="AG124" s="27"/>
      <c r="AH124" s="27"/>
      <c r="AI124" s="26"/>
      <c r="AJ124" s="14" t="str">
        <f aca="false">IF(AE124="","",IF(AND(AE124=M124,ABS(N(AF124)-N(O124))&lt;=0.01,ABS(N(AG124)-N(P124))&lt;=0.01,ABS(N(AH124)-N(Q124))&lt;=0.01),"Y","N"))</f>
        <v/>
      </c>
      <c r="AK124" s="15"/>
      <c r="AL124" s="25"/>
      <c r="AM124" s="14" t="str">
        <f aca="false">IF(OR(AL124="",O124=""),"",IF(ABS(N(AL124)-N(O124))&lt;=0.01,"Y","N"))</f>
        <v/>
      </c>
      <c r="AN124" s="15" t="s">
        <v>11</v>
      </c>
      <c r="AO124" s="14" t="str">
        <f aca="false">IFERROR(INDEX(studies!$L:$L,MATCH($C124,studies!$A:$A,0)),"")</f>
        <v>Y</v>
      </c>
      <c r="AP124" s="14" t="str">
        <f aca="false">IF(AND(M124="REPORTED",V124=""),"출처 누락",IF(AND(M124="NOT_FOUND",AC124=""),"검색범위 누락",IF(F124="ARM",IF(OR(H124="",H124="NA"),"arm 누락","OK"),IF(F124="COMPARISON",IF(OR(I124="",I124="NA"),"비교쌍 누락",IF(OR(G124="",G124="NA"),"analysis_id 누락","OK")),IF(F124="","","OK")))))</f>
        <v>OK</v>
      </c>
      <c r="AQ124" s="13" t="s">
        <v>573</v>
      </c>
    </row>
    <row r="125" customFormat="false" ht="44" hidden="false" customHeight="false" outlineLevel="0" collapsed="false">
      <c r="A125" s="28" t="s">
        <v>574</v>
      </c>
      <c r="B125" s="28" t="s">
        <v>443</v>
      </c>
      <c r="C125" s="28" t="s">
        <v>82</v>
      </c>
      <c r="D125" s="28" t="s">
        <v>166</v>
      </c>
      <c r="E125" s="14" t="str">
        <f aca="false">IFERROR(INDEX(field_dictionary!$B:$B,MATCH($D125,field_dictionary!$A:$A,0)),"")</f>
        <v>PK</v>
      </c>
      <c r="F125" s="14" t="str">
        <f aca="false">IFERROR(INDEX(field_dictionary!$C:$C,MATCH($D125,field_dictionary!$A:$A,0)),"")</f>
        <v>COMPARISON</v>
      </c>
      <c r="G125" s="28" t="s">
        <v>570</v>
      </c>
      <c r="H125" s="28" t="s">
        <v>155</v>
      </c>
      <c r="I125" s="28" t="s">
        <v>265</v>
      </c>
      <c r="J125" s="28" t="s">
        <v>233</v>
      </c>
      <c r="K125" s="28" t="s">
        <v>266</v>
      </c>
      <c r="L125" s="28" t="s">
        <v>302</v>
      </c>
      <c r="M125" s="15" t="s">
        <v>62</v>
      </c>
      <c r="N125" s="15" t="s">
        <v>575</v>
      </c>
      <c r="O125" s="25" t="n">
        <v>111.37</v>
      </c>
      <c r="P125" s="25" t="n">
        <v>103.03</v>
      </c>
      <c r="Q125" s="25" t="n">
        <v>120.37</v>
      </c>
      <c r="R125" s="15" t="s">
        <v>160</v>
      </c>
      <c r="S125" s="15" t="n">
        <v>59</v>
      </c>
      <c r="T125" s="15" t="n">
        <v>49</v>
      </c>
      <c r="U125" s="15"/>
      <c r="V125" s="15" t="s">
        <v>445</v>
      </c>
      <c r="W125" s="15" t="n">
        <v>37</v>
      </c>
      <c r="X125" s="15" t="s">
        <v>564</v>
      </c>
      <c r="Y125" s="15" t="s">
        <v>572</v>
      </c>
      <c r="Z125" s="15" t="s">
        <v>315</v>
      </c>
      <c r="AA125" s="15"/>
      <c r="AB125" s="15"/>
      <c r="AC125" s="15"/>
      <c r="AD125" s="15" t="s">
        <v>316</v>
      </c>
      <c r="AE125" s="26"/>
      <c r="AF125" s="27"/>
      <c r="AG125" s="27"/>
      <c r="AH125" s="27"/>
      <c r="AI125" s="26"/>
      <c r="AJ125" s="14" t="str">
        <f aca="false">IF(AE125="","",IF(AND(AE125=M125,ABS(N(AF125)-N(O125))&lt;=0.01,ABS(N(AG125)-N(P125))&lt;=0.01,ABS(N(AH125)-N(Q125))&lt;=0.01),"Y","N"))</f>
        <v/>
      </c>
      <c r="AK125" s="15"/>
      <c r="AL125" s="25"/>
      <c r="AM125" s="14" t="str">
        <f aca="false">IF(OR(AL125="",O125=""),"",IF(ABS(N(AL125)-N(O125))&lt;=0.01,"Y","N"))</f>
        <v/>
      </c>
      <c r="AN125" s="15" t="s">
        <v>11</v>
      </c>
      <c r="AO125" s="14" t="str">
        <f aca="false">IFERROR(INDEX(studies!$L:$L,MATCH($C125,studies!$A:$A,0)),"")</f>
        <v>Y</v>
      </c>
      <c r="AP125" s="14" t="str">
        <f aca="false">IF(AND(M125="REPORTED",V125=""),"출처 누락",IF(AND(M125="NOT_FOUND",AC125=""),"검색범위 누락",IF(F125="ARM",IF(OR(H125="",H125="NA"),"arm 누락","OK"),IF(F125="COMPARISON",IF(OR(I125="",I125="NA"),"비교쌍 누락",IF(OR(G125="",G125="NA"),"analysis_id 누락","OK")),IF(F125="","","OK")))))</f>
        <v>OK</v>
      </c>
      <c r="AQ125" s="13" t="s">
        <v>573</v>
      </c>
    </row>
    <row r="126" customFormat="false" ht="29.85" hidden="false" customHeight="false" outlineLevel="0" collapsed="false">
      <c r="A126" s="15" t="s">
        <v>576</v>
      </c>
      <c r="B126" s="15" t="s">
        <v>443</v>
      </c>
      <c r="C126" s="15" t="s">
        <v>83</v>
      </c>
      <c r="D126" s="15" t="s">
        <v>219</v>
      </c>
      <c r="E126" s="14" t="str">
        <f aca="false">IFERROR(INDEX(field_dictionary!$B:$B,MATCH($D126,field_dictionary!$A:$A,0)),"")</f>
        <v>DESIGN</v>
      </c>
      <c r="F126" s="14" t="str">
        <f aca="false">IFERROR(INDEX(field_dictionary!$C:$C,MATCH($D126,field_dictionary!$A:$A,0)),"")</f>
        <v>ARM</v>
      </c>
      <c r="G126" s="15" t="s">
        <v>155</v>
      </c>
      <c r="H126" s="15" t="s">
        <v>220</v>
      </c>
      <c r="I126" s="15" t="s">
        <v>155</v>
      </c>
      <c r="J126" s="15" t="s">
        <v>221</v>
      </c>
      <c r="K126" s="15"/>
      <c r="L126" s="15" t="s">
        <v>171</v>
      </c>
      <c r="M126" s="15" t="s">
        <v>62</v>
      </c>
      <c r="N126" s="15" t="s">
        <v>577</v>
      </c>
      <c r="O126" s="25" t="n">
        <v>114</v>
      </c>
      <c r="P126" s="25"/>
      <c r="Q126" s="25"/>
      <c r="R126" s="13" t="s">
        <v>223</v>
      </c>
      <c r="S126" s="15"/>
      <c r="T126" s="15"/>
      <c r="U126" s="15"/>
      <c r="V126" s="15" t="s">
        <v>445</v>
      </c>
      <c r="W126" s="15" t="n">
        <v>29</v>
      </c>
      <c r="X126" s="15" t="s">
        <v>578</v>
      </c>
      <c r="Y126" s="15" t="s">
        <v>579</v>
      </c>
      <c r="Z126" s="15" t="s">
        <v>163</v>
      </c>
      <c r="AA126" s="15" t="s">
        <v>580</v>
      </c>
      <c r="AB126" s="15" t="s">
        <v>581</v>
      </c>
      <c r="AC126" s="15"/>
      <c r="AD126" s="15" t="s">
        <v>177</v>
      </c>
      <c r="AE126" s="26"/>
      <c r="AF126" s="27"/>
      <c r="AG126" s="27"/>
      <c r="AH126" s="27"/>
      <c r="AI126" s="26"/>
      <c r="AJ126" s="14" t="str">
        <f aca="false">IF(AE126="","",IF(AND(AE126=M126,ABS(N(AF126)-N(O126))&lt;=0.01,ABS(N(AG126)-N(P126))&lt;=0.01,ABS(N(AH126)-N(Q126))&lt;=0.01),"Y","N"))</f>
        <v/>
      </c>
      <c r="AK126" s="15"/>
      <c r="AL126" s="25"/>
      <c r="AM126" s="14" t="str">
        <f aca="false">IF(OR(AL126="",O126=""),"",IF(ABS(N(AL126)-N(O126))&lt;=0.01,"Y","N"))</f>
        <v/>
      </c>
      <c r="AN126" s="15" t="s">
        <v>11</v>
      </c>
      <c r="AO126" s="14" t="str">
        <f aca="false">IFERROR(INDEX(studies!$L:$L,MATCH($C126,studies!$A:$A,0)),"")</f>
        <v>Y</v>
      </c>
      <c r="AP126" s="14" t="str">
        <f aca="false">IF(AND(M126="REPORTED",V126=""),"출처 누락",IF(AND(M126="NOT_FOUND",AC126=""),"검색범위 누락",IF(F126="ARM",IF(OR(H126="",H126="NA"),"arm 누락","OK"),IF(F126="COMPARISON",IF(OR(I126="",I126="NA"),"비교쌍 누락",IF(OR(G126="",G126="NA"),"analysis_id 누락","OK")),IF(F126="","","OK")))))</f>
        <v>OK</v>
      </c>
      <c r="AQ126" s="13" t="s">
        <v>582</v>
      </c>
    </row>
    <row r="127" customFormat="false" ht="29.85" hidden="false" customHeight="false" outlineLevel="0" collapsed="false">
      <c r="A127" s="15" t="s">
        <v>583</v>
      </c>
      <c r="B127" s="15" t="s">
        <v>443</v>
      </c>
      <c r="C127" s="15" t="s">
        <v>83</v>
      </c>
      <c r="D127" s="15" t="s">
        <v>219</v>
      </c>
      <c r="E127" s="14" t="str">
        <f aca="false">IFERROR(INDEX(field_dictionary!$B:$B,MATCH($D127,field_dictionary!$A:$A,0)),"")</f>
        <v>DESIGN</v>
      </c>
      <c r="F127" s="14" t="str">
        <f aca="false">IFERROR(INDEX(field_dictionary!$C:$C,MATCH($D127,field_dictionary!$A:$A,0)),"")</f>
        <v>ARM</v>
      </c>
      <c r="G127" s="15" t="s">
        <v>155</v>
      </c>
      <c r="H127" s="15" t="s">
        <v>228</v>
      </c>
      <c r="I127" s="15" t="s">
        <v>155</v>
      </c>
      <c r="J127" s="15" t="s">
        <v>221</v>
      </c>
      <c r="K127" s="15"/>
      <c r="L127" s="15" t="s">
        <v>171</v>
      </c>
      <c r="M127" s="15" t="s">
        <v>62</v>
      </c>
      <c r="N127" s="15" t="s">
        <v>584</v>
      </c>
      <c r="O127" s="25" t="n">
        <v>110</v>
      </c>
      <c r="P127" s="25"/>
      <c r="Q127" s="25"/>
      <c r="R127" s="13" t="s">
        <v>223</v>
      </c>
      <c r="S127" s="15"/>
      <c r="T127" s="15"/>
      <c r="U127" s="15"/>
      <c r="V127" s="15" t="s">
        <v>445</v>
      </c>
      <c r="W127" s="15" t="n">
        <v>29</v>
      </c>
      <c r="X127" s="15" t="s">
        <v>578</v>
      </c>
      <c r="Y127" s="15" t="s">
        <v>579</v>
      </c>
      <c r="Z127" s="15" t="s">
        <v>163</v>
      </c>
      <c r="AA127" s="15" t="s">
        <v>585</v>
      </c>
      <c r="AB127" s="15" t="s">
        <v>581</v>
      </c>
      <c r="AC127" s="15"/>
      <c r="AD127" s="15" t="s">
        <v>177</v>
      </c>
      <c r="AE127" s="26"/>
      <c r="AF127" s="27"/>
      <c r="AG127" s="27"/>
      <c r="AH127" s="27"/>
      <c r="AI127" s="26"/>
      <c r="AJ127" s="14" t="str">
        <f aca="false">IF(AE127="","",IF(AND(AE127=M127,ABS(N(AF127)-N(O127))&lt;=0.01,ABS(N(AG127)-N(P127))&lt;=0.01,ABS(N(AH127)-N(Q127))&lt;=0.01),"Y","N"))</f>
        <v/>
      </c>
      <c r="AK127" s="15"/>
      <c r="AL127" s="25"/>
      <c r="AM127" s="14" t="str">
        <f aca="false">IF(OR(AL127="",O127=""),"",IF(ABS(N(AL127)-N(O127))&lt;=0.01,"Y","N"))</f>
        <v/>
      </c>
      <c r="AN127" s="15" t="s">
        <v>11</v>
      </c>
      <c r="AO127" s="14" t="str">
        <f aca="false">IFERROR(INDEX(studies!$L:$L,MATCH($C127,studies!$A:$A,0)),"")</f>
        <v>Y</v>
      </c>
      <c r="AP127" s="14" t="str">
        <f aca="false">IF(AND(M127="REPORTED",V127=""),"출처 누락",IF(AND(M127="NOT_FOUND",AC127=""),"검색범위 누락",IF(F127="ARM",IF(OR(H127="",H127="NA"),"arm 누락","OK"),IF(F127="COMPARISON",IF(OR(I127="",I127="NA"),"비교쌍 누락",IF(OR(G127="",G127="NA"),"analysis_id 누락","OK")),IF(F127="","","OK")))))</f>
        <v>OK</v>
      </c>
      <c r="AQ127" s="13" t="s">
        <v>582</v>
      </c>
    </row>
    <row r="128" customFormat="false" ht="29.85" hidden="false" customHeight="false" outlineLevel="0" collapsed="false">
      <c r="A128" s="15" t="s">
        <v>586</v>
      </c>
      <c r="B128" s="15" t="s">
        <v>443</v>
      </c>
      <c r="C128" s="15" t="s">
        <v>83</v>
      </c>
      <c r="D128" s="15" t="s">
        <v>219</v>
      </c>
      <c r="E128" s="14" t="str">
        <f aca="false">IFERROR(INDEX(field_dictionary!$B:$B,MATCH($D128,field_dictionary!$A:$A,0)),"")</f>
        <v>DESIGN</v>
      </c>
      <c r="F128" s="14" t="str">
        <f aca="false">IFERROR(INDEX(field_dictionary!$C:$C,MATCH($D128,field_dictionary!$A:$A,0)),"")</f>
        <v>ARM</v>
      </c>
      <c r="G128" s="15" t="s">
        <v>155</v>
      </c>
      <c r="H128" s="15" t="s">
        <v>230</v>
      </c>
      <c r="I128" s="15" t="s">
        <v>155</v>
      </c>
      <c r="J128" s="15" t="s">
        <v>221</v>
      </c>
      <c r="K128" s="15"/>
      <c r="L128" s="15" t="s">
        <v>171</v>
      </c>
      <c r="M128" s="15" t="s">
        <v>62</v>
      </c>
      <c r="N128" s="15" t="s">
        <v>587</v>
      </c>
      <c r="O128" s="25" t="n">
        <v>107</v>
      </c>
      <c r="P128" s="25"/>
      <c r="Q128" s="25"/>
      <c r="R128" s="13" t="s">
        <v>223</v>
      </c>
      <c r="S128" s="15"/>
      <c r="T128" s="15"/>
      <c r="U128" s="15"/>
      <c r="V128" s="15" t="s">
        <v>445</v>
      </c>
      <c r="W128" s="15" t="n">
        <v>30</v>
      </c>
      <c r="X128" s="15" t="s">
        <v>469</v>
      </c>
      <c r="Y128" s="15" t="s">
        <v>579</v>
      </c>
      <c r="Z128" s="15" t="s">
        <v>163</v>
      </c>
      <c r="AA128" s="15" t="s">
        <v>588</v>
      </c>
      <c r="AB128" s="15" t="s">
        <v>581</v>
      </c>
      <c r="AC128" s="15"/>
      <c r="AD128" s="15" t="s">
        <v>177</v>
      </c>
      <c r="AE128" s="26"/>
      <c r="AF128" s="27"/>
      <c r="AG128" s="27"/>
      <c r="AH128" s="27"/>
      <c r="AI128" s="26"/>
      <c r="AJ128" s="14" t="str">
        <f aca="false">IF(AE128="","",IF(AND(AE128=M128,ABS(N(AF128)-N(O128))&lt;=0.01,ABS(N(AG128)-N(P128))&lt;=0.01,ABS(N(AH128)-N(Q128))&lt;=0.01),"Y","N"))</f>
        <v/>
      </c>
      <c r="AK128" s="15"/>
      <c r="AL128" s="25"/>
      <c r="AM128" s="14" t="str">
        <f aca="false">IF(OR(AL128="",O128=""),"",IF(ABS(N(AL128)-N(O128))&lt;=0.01,"Y","N"))</f>
        <v/>
      </c>
      <c r="AN128" s="15" t="s">
        <v>11</v>
      </c>
      <c r="AO128" s="14" t="str">
        <f aca="false">IFERROR(INDEX(studies!$L:$L,MATCH($C128,studies!$A:$A,0)),"")</f>
        <v>Y</v>
      </c>
      <c r="AP128" s="14" t="str">
        <f aca="false">IF(AND(M128="REPORTED",V128=""),"출처 누락",IF(AND(M128="NOT_FOUND",AC128=""),"검색범위 누락",IF(F128="ARM",IF(OR(H128="",H128="NA"),"arm 누락","OK"),IF(F128="COMPARISON",IF(OR(I128="",I128="NA"),"비교쌍 누락",IF(OR(G128="",G128="NA"),"analysis_id 누락","OK")),IF(F128="","","OK")))))</f>
        <v>OK</v>
      </c>
      <c r="AQ128" s="13" t="s">
        <v>582</v>
      </c>
    </row>
    <row r="129" customFormat="false" ht="29.85" hidden="false" customHeight="false" outlineLevel="0" collapsed="false">
      <c r="A129" s="15" t="s">
        <v>589</v>
      </c>
      <c r="B129" s="15" t="s">
        <v>443</v>
      </c>
      <c r="C129" s="15" t="s">
        <v>83</v>
      </c>
      <c r="D129" s="15" t="s">
        <v>232</v>
      </c>
      <c r="E129" s="14" t="str">
        <f aca="false">IFERROR(INDEX(field_dictionary!$B:$B,MATCH($D129,field_dictionary!$A:$A,0)),"")</f>
        <v>DESIGN</v>
      </c>
      <c r="F129" s="14" t="str">
        <f aca="false">IFERROR(INDEX(field_dictionary!$C:$C,MATCH($D129,field_dictionary!$A:$A,0)),"")</f>
        <v>ARM</v>
      </c>
      <c r="G129" s="15" t="s">
        <v>155</v>
      </c>
      <c r="H129" s="15" t="s">
        <v>220</v>
      </c>
      <c r="I129" s="15" t="s">
        <v>155</v>
      </c>
      <c r="J129" s="15" t="s">
        <v>233</v>
      </c>
      <c r="K129" s="15"/>
      <c r="L129" s="15" t="s">
        <v>171</v>
      </c>
      <c r="M129" s="15" t="s">
        <v>62</v>
      </c>
      <c r="N129" s="15" t="s">
        <v>590</v>
      </c>
      <c r="O129" s="25" t="n">
        <v>110</v>
      </c>
      <c r="P129" s="25"/>
      <c r="Q129" s="25"/>
      <c r="R129" s="13" t="s">
        <v>223</v>
      </c>
      <c r="S129" s="15"/>
      <c r="T129" s="15"/>
      <c r="U129" s="15"/>
      <c r="V129" s="15" t="s">
        <v>445</v>
      </c>
      <c r="W129" s="15" t="n">
        <v>45</v>
      </c>
      <c r="X129" s="15" t="s">
        <v>591</v>
      </c>
      <c r="Y129" s="15" t="s">
        <v>592</v>
      </c>
      <c r="Z129" s="15" t="s">
        <v>315</v>
      </c>
      <c r="AA129" s="15"/>
      <c r="AB129" s="15"/>
      <c r="AC129" s="15"/>
      <c r="AD129" s="15" t="s">
        <v>316</v>
      </c>
      <c r="AE129" s="26"/>
      <c r="AF129" s="27"/>
      <c r="AG129" s="27"/>
      <c r="AH129" s="27"/>
      <c r="AI129" s="26"/>
      <c r="AJ129" s="14" t="str">
        <f aca="false">IF(AE129="","",IF(AND(AE129=M129,ABS(N(AF129)-N(O129))&lt;=0.01,ABS(N(AG129)-N(P129))&lt;=0.01,ABS(N(AH129)-N(Q129))&lt;=0.01),"Y","N"))</f>
        <v/>
      </c>
      <c r="AK129" s="15"/>
      <c r="AL129" s="25"/>
      <c r="AM129" s="14" t="str">
        <f aca="false">IF(OR(AL129="",O129=""),"",IF(ABS(N(AL129)-N(O129))&lt;=0.01,"Y","N"))</f>
        <v/>
      </c>
      <c r="AN129" s="15" t="s">
        <v>11</v>
      </c>
      <c r="AO129" s="14" t="str">
        <f aca="false">IFERROR(INDEX(studies!$L:$L,MATCH($C129,studies!$A:$A,0)),"")</f>
        <v>Y</v>
      </c>
      <c r="AP129" s="14" t="str">
        <f aca="false">IF(AND(M129="REPORTED",V129=""),"출처 누락",IF(AND(M129="NOT_FOUND",AC129=""),"검색범위 누락",IF(F129="ARM",IF(OR(H129="",H129="NA"),"arm 누락","OK"),IF(F129="COMPARISON",IF(OR(I129="",I129="NA"),"비교쌍 누락",IF(OR(G129="",G129="NA"),"analysis_id 누락","OK")),IF(F129="","","OK")))))</f>
        <v>OK</v>
      </c>
      <c r="AQ129" s="13" t="s">
        <v>593</v>
      </c>
    </row>
    <row r="130" customFormat="false" ht="29.85" hidden="false" customHeight="false" outlineLevel="0" collapsed="false">
      <c r="A130" s="15" t="s">
        <v>594</v>
      </c>
      <c r="B130" s="15" t="s">
        <v>443</v>
      </c>
      <c r="C130" s="15" t="s">
        <v>83</v>
      </c>
      <c r="D130" s="15" t="s">
        <v>232</v>
      </c>
      <c r="E130" s="14" t="str">
        <f aca="false">IFERROR(INDEX(field_dictionary!$B:$B,MATCH($D130,field_dictionary!$A:$A,0)),"")</f>
        <v>DESIGN</v>
      </c>
      <c r="F130" s="14" t="str">
        <f aca="false">IFERROR(INDEX(field_dictionary!$C:$C,MATCH($D130,field_dictionary!$A:$A,0)),"")</f>
        <v>ARM</v>
      </c>
      <c r="G130" s="15" t="s">
        <v>155</v>
      </c>
      <c r="H130" s="15" t="s">
        <v>228</v>
      </c>
      <c r="I130" s="15" t="s">
        <v>155</v>
      </c>
      <c r="J130" s="15" t="s">
        <v>233</v>
      </c>
      <c r="K130" s="15"/>
      <c r="L130" s="15" t="s">
        <v>171</v>
      </c>
      <c r="M130" s="15" t="s">
        <v>62</v>
      </c>
      <c r="N130" s="15" t="s">
        <v>595</v>
      </c>
      <c r="O130" s="25" t="n">
        <v>105</v>
      </c>
      <c r="P130" s="25"/>
      <c r="Q130" s="25"/>
      <c r="R130" s="13" t="s">
        <v>223</v>
      </c>
      <c r="S130" s="15"/>
      <c r="T130" s="15"/>
      <c r="U130" s="15"/>
      <c r="V130" s="15" t="s">
        <v>445</v>
      </c>
      <c r="W130" s="15" t="n">
        <v>45</v>
      </c>
      <c r="X130" s="15" t="s">
        <v>591</v>
      </c>
      <c r="Y130" s="15" t="s">
        <v>592</v>
      </c>
      <c r="Z130" s="15" t="s">
        <v>315</v>
      </c>
      <c r="AA130" s="15"/>
      <c r="AB130" s="15"/>
      <c r="AC130" s="15"/>
      <c r="AD130" s="15" t="s">
        <v>316</v>
      </c>
      <c r="AE130" s="26"/>
      <c r="AF130" s="27"/>
      <c r="AG130" s="27"/>
      <c r="AH130" s="27"/>
      <c r="AI130" s="26"/>
      <c r="AJ130" s="14" t="str">
        <f aca="false">IF(AE130="","",IF(AND(AE130=M130,ABS(N(AF130)-N(O130))&lt;=0.01,ABS(N(AG130)-N(P130))&lt;=0.01,ABS(N(AH130)-N(Q130))&lt;=0.01),"Y","N"))</f>
        <v/>
      </c>
      <c r="AK130" s="15"/>
      <c r="AL130" s="25"/>
      <c r="AM130" s="14" t="str">
        <f aca="false">IF(OR(AL130="",O130=""),"",IF(ABS(N(AL130)-N(O130))&lt;=0.01,"Y","N"))</f>
        <v/>
      </c>
      <c r="AN130" s="15" t="s">
        <v>11</v>
      </c>
      <c r="AO130" s="14" t="str">
        <f aca="false">IFERROR(INDEX(studies!$L:$L,MATCH($C130,studies!$A:$A,0)),"")</f>
        <v>Y</v>
      </c>
      <c r="AP130" s="14" t="str">
        <f aca="false">IF(AND(M130="REPORTED",V130=""),"출처 누락",IF(AND(M130="NOT_FOUND",AC130=""),"검색범위 누락",IF(F130="ARM",IF(OR(H130="",H130="NA"),"arm 누락","OK"),IF(F130="COMPARISON",IF(OR(I130="",I130="NA"),"비교쌍 누락",IF(OR(G130="",G130="NA"),"analysis_id 누락","OK")),IF(F130="","","OK")))))</f>
        <v>OK</v>
      </c>
      <c r="AQ130" s="13" t="s">
        <v>593</v>
      </c>
    </row>
    <row r="131" customFormat="false" ht="29.85" hidden="false" customHeight="false" outlineLevel="0" collapsed="false">
      <c r="A131" s="15" t="s">
        <v>596</v>
      </c>
      <c r="B131" s="15" t="s">
        <v>443</v>
      </c>
      <c r="C131" s="15" t="s">
        <v>83</v>
      </c>
      <c r="D131" s="15" t="s">
        <v>232</v>
      </c>
      <c r="E131" s="14" t="str">
        <f aca="false">IFERROR(INDEX(field_dictionary!$B:$B,MATCH($D131,field_dictionary!$A:$A,0)),"")</f>
        <v>DESIGN</v>
      </c>
      <c r="F131" s="14" t="str">
        <f aca="false">IFERROR(INDEX(field_dictionary!$C:$C,MATCH($D131,field_dictionary!$A:$A,0)),"")</f>
        <v>ARM</v>
      </c>
      <c r="G131" s="15" t="s">
        <v>155</v>
      </c>
      <c r="H131" s="15" t="s">
        <v>230</v>
      </c>
      <c r="I131" s="15" t="s">
        <v>155</v>
      </c>
      <c r="J131" s="15" t="s">
        <v>233</v>
      </c>
      <c r="K131" s="15"/>
      <c r="L131" s="15" t="s">
        <v>171</v>
      </c>
      <c r="M131" s="15" t="s">
        <v>62</v>
      </c>
      <c r="N131" s="15" t="s">
        <v>595</v>
      </c>
      <c r="O131" s="25" t="n">
        <v>105</v>
      </c>
      <c r="P131" s="25"/>
      <c r="Q131" s="25"/>
      <c r="R131" s="13" t="s">
        <v>223</v>
      </c>
      <c r="S131" s="15"/>
      <c r="T131" s="15"/>
      <c r="U131" s="15"/>
      <c r="V131" s="15" t="s">
        <v>445</v>
      </c>
      <c r="W131" s="15" t="n">
        <v>45</v>
      </c>
      <c r="X131" s="15" t="s">
        <v>591</v>
      </c>
      <c r="Y131" s="15" t="s">
        <v>592</v>
      </c>
      <c r="Z131" s="15" t="s">
        <v>315</v>
      </c>
      <c r="AA131" s="15"/>
      <c r="AB131" s="15"/>
      <c r="AC131" s="15"/>
      <c r="AD131" s="15" t="s">
        <v>316</v>
      </c>
      <c r="AE131" s="26"/>
      <c r="AF131" s="27"/>
      <c r="AG131" s="27"/>
      <c r="AH131" s="27"/>
      <c r="AI131" s="26"/>
      <c r="AJ131" s="14" t="str">
        <f aca="false">IF(AE131="","",IF(AND(AE131=M131,ABS(N(AF131)-N(O131))&lt;=0.01,ABS(N(AG131)-N(P131))&lt;=0.01,ABS(N(AH131)-N(Q131))&lt;=0.01),"Y","N"))</f>
        <v/>
      </c>
      <c r="AK131" s="15"/>
      <c r="AL131" s="25"/>
      <c r="AM131" s="14" t="str">
        <f aca="false">IF(OR(AL131="",O131=""),"",IF(ABS(N(AL131)-N(O131))&lt;=0.01,"Y","N"))</f>
        <v/>
      </c>
      <c r="AN131" s="15" t="s">
        <v>11</v>
      </c>
      <c r="AO131" s="14" t="str">
        <f aca="false">IFERROR(INDEX(studies!$L:$L,MATCH($C131,studies!$A:$A,0)),"")</f>
        <v>Y</v>
      </c>
      <c r="AP131" s="14" t="str">
        <f aca="false">IF(AND(M131="REPORTED",V131=""),"출처 누락",IF(AND(M131="NOT_FOUND",AC131=""),"검색범위 누락",IF(F131="ARM",IF(OR(H131="",H131="NA"),"arm 누락","OK"),IF(F131="COMPARISON",IF(OR(I131="",I131="NA"),"비교쌍 누락",IF(OR(G131="",G131="NA"),"analysis_id 누락","OK")),IF(F131="","","OK")))))</f>
        <v>OK</v>
      </c>
      <c r="AQ131" s="13" t="s">
        <v>593</v>
      </c>
    </row>
    <row r="132" customFormat="false" ht="46.25" hidden="false" customHeight="false" outlineLevel="0" collapsed="false">
      <c r="A132" s="15" t="s">
        <v>597</v>
      </c>
      <c r="B132" s="15" t="s">
        <v>443</v>
      </c>
      <c r="C132" s="15" t="s">
        <v>83</v>
      </c>
      <c r="D132" s="15" t="s">
        <v>240</v>
      </c>
      <c r="E132" s="14" t="str">
        <f aca="false">IFERROR(INDEX(field_dictionary!$B:$B,MATCH($D132,field_dictionary!$A:$A,0)),"")</f>
        <v>IMMUNO</v>
      </c>
      <c r="F132" s="14" t="str">
        <f aca="false">IFERROR(INDEX(field_dictionary!$C:$C,MATCH($D132,field_dictionary!$A:$A,0)),"")</f>
        <v>ARM</v>
      </c>
      <c r="G132" s="15" t="s">
        <v>241</v>
      </c>
      <c r="H132" s="15" t="s">
        <v>220</v>
      </c>
      <c r="I132" s="15" t="s">
        <v>155</v>
      </c>
      <c r="J132" s="15" t="s">
        <v>242</v>
      </c>
      <c r="K132" s="15" t="s">
        <v>598</v>
      </c>
      <c r="L132" s="15" t="s">
        <v>171</v>
      </c>
      <c r="M132" s="15" t="s">
        <v>62</v>
      </c>
      <c r="N132" s="15" t="s">
        <v>599</v>
      </c>
      <c r="O132" s="25" t="n">
        <v>16.2</v>
      </c>
      <c r="P132" s="25"/>
      <c r="Q132" s="25"/>
      <c r="R132" s="15" t="s">
        <v>160</v>
      </c>
      <c r="S132" s="15"/>
      <c r="T132" s="15"/>
      <c r="U132" s="15" t="s">
        <v>600</v>
      </c>
      <c r="V132" s="15" t="s">
        <v>445</v>
      </c>
      <c r="W132" s="15" t="n">
        <v>112</v>
      </c>
      <c r="X132" s="15" t="s">
        <v>601</v>
      </c>
      <c r="Y132" s="15" t="s">
        <v>512</v>
      </c>
      <c r="Z132" s="15" t="s">
        <v>163</v>
      </c>
      <c r="AA132" s="15" t="s">
        <v>602</v>
      </c>
      <c r="AB132" s="15"/>
      <c r="AC132" s="15"/>
      <c r="AD132" s="15" t="s">
        <v>177</v>
      </c>
      <c r="AE132" s="26"/>
      <c r="AF132" s="27"/>
      <c r="AG132" s="27"/>
      <c r="AH132" s="27"/>
      <c r="AI132" s="26"/>
      <c r="AJ132" s="14" t="str">
        <f aca="false">IF(AE132="","",IF(AND(AE132=M132,ABS(N(AF132)-N(O132))&lt;=0.01,ABS(N(AG132)-N(P132))&lt;=0.01,ABS(N(AH132)-N(Q132))&lt;=0.01),"Y","N"))</f>
        <v/>
      </c>
      <c r="AK132" s="15"/>
      <c r="AL132" s="25"/>
      <c r="AM132" s="14" t="str">
        <f aca="false">IF(OR(AL132="",O132=""),"",IF(ABS(N(AL132)-N(O132))&lt;=0.01,"Y","N"))</f>
        <v/>
      </c>
      <c r="AN132" s="15" t="s">
        <v>11</v>
      </c>
      <c r="AO132" s="14" t="str">
        <f aca="false">IFERROR(INDEX(studies!$L:$L,MATCH($C132,studies!$A:$A,0)),"")</f>
        <v>Y</v>
      </c>
      <c r="AP132" s="14" t="str">
        <f aca="false">IF(AND(M132="REPORTED",V132=""),"출처 누락",IF(AND(M132="NOT_FOUND",AC132=""),"검색범위 누락",IF(F132="ARM",IF(OR(H132="",H132="NA"),"arm 누락","OK"),IF(F132="COMPARISON",IF(OR(I132="",I132="NA"),"비교쌍 누락",IF(OR(G132="",G132="NA"),"analysis_id 누락","OK")),IF(F132="","","OK")))))</f>
        <v>OK</v>
      </c>
      <c r="AQ132" s="13" t="s">
        <v>603</v>
      </c>
    </row>
    <row r="133" customFormat="false" ht="46.25" hidden="false" customHeight="false" outlineLevel="0" collapsed="false">
      <c r="A133" s="15" t="s">
        <v>604</v>
      </c>
      <c r="B133" s="15" t="s">
        <v>443</v>
      </c>
      <c r="C133" s="15" t="s">
        <v>83</v>
      </c>
      <c r="D133" s="15" t="s">
        <v>240</v>
      </c>
      <c r="E133" s="14" t="str">
        <f aca="false">IFERROR(INDEX(field_dictionary!$B:$B,MATCH($D133,field_dictionary!$A:$A,0)),"")</f>
        <v>IMMUNO</v>
      </c>
      <c r="F133" s="14" t="str">
        <f aca="false">IFERROR(INDEX(field_dictionary!$C:$C,MATCH($D133,field_dictionary!$A:$A,0)),"")</f>
        <v>ARM</v>
      </c>
      <c r="G133" s="15" t="s">
        <v>241</v>
      </c>
      <c r="H133" s="15" t="s">
        <v>228</v>
      </c>
      <c r="I133" s="15" t="s">
        <v>155</v>
      </c>
      <c r="J133" s="15" t="s">
        <v>242</v>
      </c>
      <c r="K133" s="15" t="s">
        <v>598</v>
      </c>
      <c r="L133" s="15" t="s">
        <v>171</v>
      </c>
      <c r="M133" s="15" t="s">
        <v>62</v>
      </c>
      <c r="N133" s="15" t="s">
        <v>605</v>
      </c>
      <c r="O133" s="25" t="n">
        <v>44.4</v>
      </c>
      <c r="P133" s="25"/>
      <c r="Q133" s="25"/>
      <c r="R133" s="15" t="s">
        <v>160</v>
      </c>
      <c r="S133" s="15"/>
      <c r="T133" s="15"/>
      <c r="U133" s="15" t="s">
        <v>600</v>
      </c>
      <c r="V133" s="15" t="s">
        <v>445</v>
      </c>
      <c r="W133" s="15" t="n">
        <v>112</v>
      </c>
      <c r="X133" s="15" t="s">
        <v>601</v>
      </c>
      <c r="Y133" s="15" t="s">
        <v>512</v>
      </c>
      <c r="Z133" s="15" t="s">
        <v>163</v>
      </c>
      <c r="AA133" s="15" t="s">
        <v>602</v>
      </c>
      <c r="AB133" s="15"/>
      <c r="AC133" s="15"/>
      <c r="AD133" s="15" t="s">
        <v>177</v>
      </c>
      <c r="AE133" s="26"/>
      <c r="AF133" s="27"/>
      <c r="AG133" s="27"/>
      <c r="AH133" s="27"/>
      <c r="AI133" s="26"/>
      <c r="AJ133" s="14" t="str">
        <f aca="false">IF(AE133="","",IF(AND(AE133=M133,ABS(N(AF133)-N(O133))&lt;=0.01,ABS(N(AG133)-N(P133))&lt;=0.01,ABS(N(AH133)-N(Q133))&lt;=0.01),"Y","N"))</f>
        <v/>
      </c>
      <c r="AK133" s="15"/>
      <c r="AL133" s="25"/>
      <c r="AM133" s="14" t="str">
        <f aca="false">IF(OR(AL133="",O133=""),"",IF(ABS(N(AL133)-N(O133))&lt;=0.01,"Y","N"))</f>
        <v/>
      </c>
      <c r="AN133" s="15" t="s">
        <v>11</v>
      </c>
      <c r="AO133" s="14" t="str">
        <f aca="false">IFERROR(INDEX(studies!$L:$L,MATCH($C133,studies!$A:$A,0)),"")</f>
        <v>Y</v>
      </c>
      <c r="AP133" s="14" t="str">
        <f aca="false">IF(AND(M133="REPORTED",V133=""),"출처 누락",IF(AND(M133="NOT_FOUND",AC133=""),"검색범위 누락",IF(F133="ARM",IF(OR(H133="",H133="NA"),"arm 누락","OK"),IF(F133="COMPARISON",IF(OR(I133="",I133="NA"),"비교쌍 누락",IF(OR(G133="",G133="NA"),"analysis_id 누락","OK")),IF(F133="","","OK")))))</f>
        <v>OK</v>
      </c>
      <c r="AQ133" s="13" t="s">
        <v>603</v>
      </c>
    </row>
    <row r="134" customFormat="false" ht="46.25" hidden="false" customHeight="false" outlineLevel="0" collapsed="false">
      <c r="A134" s="15" t="s">
        <v>606</v>
      </c>
      <c r="B134" s="15" t="s">
        <v>443</v>
      </c>
      <c r="C134" s="15" t="s">
        <v>83</v>
      </c>
      <c r="D134" s="15" t="s">
        <v>240</v>
      </c>
      <c r="E134" s="14" t="str">
        <f aca="false">IFERROR(INDEX(field_dictionary!$B:$B,MATCH($D134,field_dictionary!$A:$A,0)),"")</f>
        <v>IMMUNO</v>
      </c>
      <c r="F134" s="14" t="str">
        <f aca="false">IFERROR(INDEX(field_dictionary!$C:$C,MATCH($D134,field_dictionary!$A:$A,0)),"")</f>
        <v>ARM</v>
      </c>
      <c r="G134" s="15" t="s">
        <v>241</v>
      </c>
      <c r="H134" s="15" t="s">
        <v>230</v>
      </c>
      <c r="I134" s="15" t="s">
        <v>155</v>
      </c>
      <c r="J134" s="15" t="s">
        <v>242</v>
      </c>
      <c r="K134" s="15" t="s">
        <v>598</v>
      </c>
      <c r="L134" s="15" t="s">
        <v>171</v>
      </c>
      <c r="M134" s="15" t="s">
        <v>62</v>
      </c>
      <c r="N134" s="15" t="s">
        <v>607</v>
      </c>
      <c r="O134" s="25" t="n">
        <v>39.6</v>
      </c>
      <c r="P134" s="25"/>
      <c r="Q134" s="25"/>
      <c r="R134" s="15" t="s">
        <v>160</v>
      </c>
      <c r="S134" s="15"/>
      <c r="T134" s="15"/>
      <c r="U134" s="15" t="s">
        <v>600</v>
      </c>
      <c r="V134" s="15" t="s">
        <v>445</v>
      </c>
      <c r="W134" s="15" t="n">
        <v>112</v>
      </c>
      <c r="X134" s="15" t="s">
        <v>601</v>
      </c>
      <c r="Y134" s="15" t="s">
        <v>512</v>
      </c>
      <c r="Z134" s="15" t="s">
        <v>163</v>
      </c>
      <c r="AA134" s="15" t="s">
        <v>602</v>
      </c>
      <c r="AB134" s="15"/>
      <c r="AC134" s="15"/>
      <c r="AD134" s="15" t="s">
        <v>177</v>
      </c>
      <c r="AE134" s="26"/>
      <c r="AF134" s="27"/>
      <c r="AG134" s="27"/>
      <c r="AH134" s="27"/>
      <c r="AI134" s="26"/>
      <c r="AJ134" s="14" t="str">
        <f aca="false">IF(AE134="","",IF(AND(AE134=M134,ABS(N(AF134)-N(O134))&lt;=0.01,ABS(N(AG134)-N(P134))&lt;=0.01,ABS(N(AH134)-N(Q134))&lt;=0.01),"Y","N"))</f>
        <v/>
      </c>
      <c r="AK134" s="15"/>
      <c r="AL134" s="25"/>
      <c r="AM134" s="14" t="str">
        <f aca="false">IF(OR(AL134="",O134=""),"",IF(ABS(N(AL134)-N(O134))&lt;=0.01,"Y","N"))</f>
        <v/>
      </c>
      <c r="AN134" s="15" t="s">
        <v>11</v>
      </c>
      <c r="AO134" s="14" t="str">
        <f aca="false">IFERROR(INDEX(studies!$L:$L,MATCH($C134,studies!$A:$A,0)),"")</f>
        <v>Y</v>
      </c>
      <c r="AP134" s="14" t="str">
        <f aca="false">IF(AND(M134="REPORTED",V134=""),"출처 누락",IF(AND(M134="NOT_FOUND",AC134=""),"검색범위 누락",IF(F134="ARM",IF(OR(H134="",H134="NA"),"arm 누락","OK"),IF(F134="COMPARISON",IF(OR(I134="",I134="NA"),"비교쌍 누락",IF(OR(G134="",G134="NA"),"analysis_id 누락","OK")),IF(F134="","","OK")))))</f>
        <v>OK</v>
      </c>
      <c r="AQ134" s="13" t="s">
        <v>603</v>
      </c>
    </row>
    <row r="135" customFormat="false" ht="46.25" hidden="false" customHeight="false" outlineLevel="0" collapsed="false">
      <c r="A135" s="15" t="s">
        <v>608</v>
      </c>
      <c r="B135" s="15" t="s">
        <v>443</v>
      </c>
      <c r="C135" s="15" t="s">
        <v>83</v>
      </c>
      <c r="D135" s="15" t="s">
        <v>255</v>
      </c>
      <c r="E135" s="14" t="str">
        <f aca="false">IFERROR(INDEX(field_dictionary!$B:$B,MATCH($D135,field_dictionary!$A:$A,0)),"")</f>
        <v>IMMUNO</v>
      </c>
      <c r="F135" s="14" t="str">
        <f aca="false">IFERROR(INDEX(field_dictionary!$C:$C,MATCH($D135,field_dictionary!$A:$A,0)),"")</f>
        <v>ARM</v>
      </c>
      <c r="G135" s="15" t="s">
        <v>256</v>
      </c>
      <c r="H135" s="15" t="s">
        <v>220</v>
      </c>
      <c r="I135" s="15" t="s">
        <v>155</v>
      </c>
      <c r="J135" s="15" t="s">
        <v>242</v>
      </c>
      <c r="K135" s="15" t="s">
        <v>598</v>
      </c>
      <c r="L135" s="15" t="s">
        <v>171</v>
      </c>
      <c r="M135" s="15" t="s">
        <v>62</v>
      </c>
      <c r="N135" s="15" t="s">
        <v>609</v>
      </c>
      <c r="O135" s="25" t="n">
        <v>12.6</v>
      </c>
      <c r="P135" s="25"/>
      <c r="Q135" s="25"/>
      <c r="R135" s="15" t="s">
        <v>160</v>
      </c>
      <c r="S135" s="15"/>
      <c r="T135" s="15"/>
      <c r="U135" s="15" t="s">
        <v>402</v>
      </c>
      <c r="V135" s="15" t="s">
        <v>445</v>
      </c>
      <c r="W135" s="15" t="n">
        <v>112</v>
      </c>
      <c r="X135" s="15" t="s">
        <v>601</v>
      </c>
      <c r="Y135" s="15" t="s">
        <v>512</v>
      </c>
      <c r="Z135" s="15" t="s">
        <v>163</v>
      </c>
      <c r="AA135" s="15" t="s">
        <v>610</v>
      </c>
      <c r="AB135" s="15"/>
      <c r="AC135" s="15"/>
      <c r="AD135" s="15" t="s">
        <v>177</v>
      </c>
      <c r="AE135" s="26"/>
      <c r="AF135" s="27"/>
      <c r="AG135" s="27"/>
      <c r="AH135" s="27"/>
      <c r="AI135" s="26"/>
      <c r="AJ135" s="14" t="str">
        <f aca="false">IF(AE135="","",IF(AND(AE135=M135,ABS(N(AF135)-N(O135))&lt;=0.01,ABS(N(AG135)-N(P135))&lt;=0.01,ABS(N(AH135)-N(Q135))&lt;=0.01),"Y","N"))</f>
        <v/>
      </c>
      <c r="AK135" s="15"/>
      <c r="AL135" s="25"/>
      <c r="AM135" s="14" t="str">
        <f aca="false">IF(OR(AL135="",O135=""),"",IF(ABS(N(AL135)-N(O135))&lt;=0.01,"Y","N"))</f>
        <v/>
      </c>
      <c r="AN135" s="15" t="s">
        <v>11</v>
      </c>
      <c r="AO135" s="14" t="str">
        <f aca="false">IFERROR(INDEX(studies!$L:$L,MATCH($C135,studies!$A:$A,0)),"")</f>
        <v>Y</v>
      </c>
      <c r="AP135" s="14" t="str">
        <f aca="false">IF(AND(M135="REPORTED",V135=""),"출처 누락",IF(AND(M135="NOT_FOUND",AC135=""),"검색범위 누락",IF(F135="ARM",IF(OR(H135="",H135="NA"),"arm 누락","OK"),IF(F135="COMPARISON",IF(OR(I135="",I135="NA"),"비교쌍 누락",IF(OR(G135="",G135="NA"),"analysis_id 누락","OK")),IF(F135="","","OK")))))</f>
        <v>OK</v>
      </c>
      <c r="AQ135" s="15"/>
    </row>
    <row r="136" customFormat="false" ht="46.25" hidden="false" customHeight="false" outlineLevel="0" collapsed="false">
      <c r="A136" s="15" t="s">
        <v>611</v>
      </c>
      <c r="B136" s="15" t="s">
        <v>443</v>
      </c>
      <c r="C136" s="15" t="s">
        <v>83</v>
      </c>
      <c r="D136" s="15" t="s">
        <v>255</v>
      </c>
      <c r="E136" s="14" t="str">
        <f aca="false">IFERROR(INDEX(field_dictionary!$B:$B,MATCH($D136,field_dictionary!$A:$A,0)),"")</f>
        <v>IMMUNO</v>
      </c>
      <c r="F136" s="14" t="str">
        <f aca="false">IFERROR(INDEX(field_dictionary!$C:$C,MATCH($D136,field_dictionary!$A:$A,0)),"")</f>
        <v>ARM</v>
      </c>
      <c r="G136" s="15" t="s">
        <v>256</v>
      </c>
      <c r="H136" s="15" t="s">
        <v>228</v>
      </c>
      <c r="I136" s="15" t="s">
        <v>155</v>
      </c>
      <c r="J136" s="15" t="s">
        <v>242</v>
      </c>
      <c r="K136" s="15" t="s">
        <v>598</v>
      </c>
      <c r="L136" s="15" t="s">
        <v>171</v>
      </c>
      <c r="M136" s="15" t="s">
        <v>62</v>
      </c>
      <c r="N136" s="15" t="s">
        <v>612</v>
      </c>
      <c r="O136" s="25" t="n">
        <v>16.7</v>
      </c>
      <c r="P136" s="25"/>
      <c r="Q136" s="25"/>
      <c r="R136" s="15" t="s">
        <v>160</v>
      </c>
      <c r="S136" s="15"/>
      <c r="T136" s="15"/>
      <c r="U136" s="15" t="s">
        <v>402</v>
      </c>
      <c r="V136" s="15" t="s">
        <v>445</v>
      </c>
      <c r="W136" s="15" t="n">
        <v>112</v>
      </c>
      <c r="X136" s="15" t="s">
        <v>601</v>
      </c>
      <c r="Y136" s="15" t="s">
        <v>512</v>
      </c>
      <c r="Z136" s="15" t="s">
        <v>163</v>
      </c>
      <c r="AA136" s="15" t="s">
        <v>610</v>
      </c>
      <c r="AB136" s="15"/>
      <c r="AC136" s="15"/>
      <c r="AD136" s="15" t="s">
        <v>177</v>
      </c>
      <c r="AE136" s="26"/>
      <c r="AF136" s="27"/>
      <c r="AG136" s="27"/>
      <c r="AH136" s="27"/>
      <c r="AI136" s="26"/>
      <c r="AJ136" s="14" t="str">
        <f aca="false">IF(AE136="","",IF(AND(AE136=M136,ABS(N(AF136)-N(O136))&lt;=0.01,ABS(N(AG136)-N(P136))&lt;=0.01,ABS(N(AH136)-N(Q136))&lt;=0.01),"Y","N"))</f>
        <v/>
      </c>
      <c r="AK136" s="15"/>
      <c r="AL136" s="25"/>
      <c r="AM136" s="14" t="str">
        <f aca="false">IF(OR(AL136="",O136=""),"",IF(ABS(N(AL136)-N(O136))&lt;=0.01,"Y","N"))</f>
        <v/>
      </c>
      <c r="AN136" s="15" t="s">
        <v>11</v>
      </c>
      <c r="AO136" s="14" t="str">
        <f aca="false">IFERROR(INDEX(studies!$L:$L,MATCH($C136,studies!$A:$A,0)),"")</f>
        <v>Y</v>
      </c>
      <c r="AP136" s="14" t="str">
        <f aca="false">IF(AND(M136="REPORTED",V136=""),"출처 누락",IF(AND(M136="NOT_FOUND",AC136=""),"검색범위 누락",IF(F136="ARM",IF(OR(H136="",H136="NA"),"arm 누락","OK"),IF(F136="COMPARISON",IF(OR(I136="",I136="NA"),"비교쌍 누락",IF(OR(G136="",G136="NA"),"analysis_id 누락","OK")),IF(F136="","","OK")))))</f>
        <v>OK</v>
      </c>
      <c r="AQ136" s="15"/>
    </row>
    <row r="137" customFormat="false" ht="46.25" hidden="false" customHeight="false" outlineLevel="0" collapsed="false">
      <c r="A137" s="15" t="s">
        <v>613</v>
      </c>
      <c r="B137" s="15" t="s">
        <v>443</v>
      </c>
      <c r="C137" s="15" t="s">
        <v>83</v>
      </c>
      <c r="D137" s="15" t="s">
        <v>255</v>
      </c>
      <c r="E137" s="14" t="str">
        <f aca="false">IFERROR(INDEX(field_dictionary!$B:$B,MATCH($D137,field_dictionary!$A:$A,0)),"")</f>
        <v>IMMUNO</v>
      </c>
      <c r="F137" s="14" t="str">
        <f aca="false">IFERROR(INDEX(field_dictionary!$C:$C,MATCH($D137,field_dictionary!$A:$A,0)),"")</f>
        <v>ARM</v>
      </c>
      <c r="G137" s="15" t="s">
        <v>256</v>
      </c>
      <c r="H137" s="15" t="s">
        <v>230</v>
      </c>
      <c r="I137" s="15" t="s">
        <v>155</v>
      </c>
      <c r="J137" s="15" t="s">
        <v>242</v>
      </c>
      <c r="K137" s="15" t="s">
        <v>598</v>
      </c>
      <c r="L137" s="15" t="s">
        <v>171</v>
      </c>
      <c r="M137" s="15" t="s">
        <v>62</v>
      </c>
      <c r="N137" s="15" t="s">
        <v>614</v>
      </c>
      <c r="O137" s="25" t="n">
        <v>15.1</v>
      </c>
      <c r="P137" s="25"/>
      <c r="Q137" s="25"/>
      <c r="R137" s="15" t="s">
        <v>160</v>
      </c>
      <c r="S137" s="15"/>
      <c r="T137" s="15"/>
      <c r="U137" s="15" t="s">
        <v>402</v>
      </c>
      <c r="V137" s="15" t="s">
        <v>445</v>
      </c>
      <c r="W137" s="15" t="n">
        <v>112</v>
      </c>
      <c r="X137" s="15" t="s">
        <v>601</v>
      </c>
      <c r="Y137" s="15" t="s">
        <v>512</v>
      </c>
      <c r="Z137" s="15" t="s">
        <v>163</v>
      </c>
      <c r="AA137" s="15" t="s">
        <v>610</v>
      </c>
      <c r="AB137" s="15"/>
      <c r="AC137" s="15"/>
      <c r="AD137" s="15" t="s">
        <v>177</v>
      </c>
      <c r="AE137" s="26"/>
      <c r="AF137" s="27"/>
      <c r="AG137" s="27"/>
      <c r="AH137" s="27"/>
      <c r="AI137" s="26"/>
      <c r="AJ137" s="14" t="str">
        <f aca="false">IF(AE137="","",IF(AND(AE137=M137,ABS(N(AF137)-N(O137))&lt;=0.01,ABS(N(AG137)-N(P137))&lt;=0.01,ABS(N(AH137)-N(Q137))&lt;=0.01),"Y","N"))</f>
        <v/>
      </c>
      <c r="AK137" s="15"/>
      <c r="AL137" s="25"/>
      <c r="AM137" s="14" t="str">
        <f aca="false">IF(OR(AL137="",O137=""),"",IF(ABS(N(AL137)-N(O137))&lt;=0.01,"Y","N"))</f>
        <v/>
      </c>
      <c r="AN137" s="15" t="s">
        <v>11</v>
      </c>
      <c r="AO137" s="14" t="str">
        <f aca="false">IFERROR(INDEX(studies!$L:$L,MATCH($C137,studies!$A:$A,0)),"")</f>
        <v>Y</v>
      </c>
      <c r="AP137" s="14" t="str">
        <f aca="false">IF(AND(M137="REPORTED",V137=""),"출처 누락",IF(AND(M137="NOT_FOUND",AC137=""),"검색범위 누락",IF(F137="ARM",IF(OR(H137="",H137="NA"),"arm 누락","OK"),IF(F137="COMPARISON",IF(OR(I137="",I137="NA"),"비교쌍 누락",IF(OR(G137="",G137="NA"),"analysis_id 누락","OK")),IF(F137="","","OK")))))</f>
        <v>OK</v>
      </c>
      <c r="AQ137" s="15"/>
    </row>
    <row r="138" customFormat="false" ht="29.85" hidden="false" customHeight="false" outlineLevel="0" collapsed="false">
      <c r="A138" s="15" t="s">
        <v>615</v>
      </c>
      <c r="B138" s="15" t="s">
        <v>443</v>
      </c>
      <c r="C138" s="15" t="s">
        <v>83</v>
      </c>
      <c r="D138" s="15" t="s">
        <v>264</v>
      </c>
      <c r="E138" s="14" t="str">
        <f aca="false">IFERROR(INDEX(field_dictionary!$B:$B,MATCH($D138,field_dictionary!$A:$A,0)),"")</f>
        <v>PK</v>
      </c>
      <c r="F138" s="14" t="str">
        <f aca="false">IFERROR(INDEX(field_dictionary!$C:$C,MATCH($D138,field_dictionary!$A:$A,0)),"")</f>
        <v>COMPARISON</v>
      </c>
      <c r="G138" s="15" t="s">
        <v>154</v>
      </c>
      <c r="H138" s="15" t="s">
        <v>155</v>
      </c>
      <c r="I138" s="15" t="s">
        <v>265</v>
      </c>
      <c r="J138" s="15" t="s">
        <v>233</v>
      </c>
      <c r="K138" s="15" t="s">
        <v>266</v>
      </c>
      <c r="L138" s="15" t="s">
        <v>171</v>
      </c>
      <c r="M138" s="15" t="s">
        <v>62</v>
      </c>
      <c r="N138" s="15" t="s">
        <v>616</v>
      </c>
      <c r="O138" s="25" t="n">
        <v>108.31</v>
      </c>
      <c r="P138" s="25" t="n">
        <v>102.07</v>
      </c>
      <c r="Q138" s="25" t="n">
        <v>114.94</v>
      </c>
      <c r="R138" s="15" t="s">
        <v>160</v>
      </c>
      <c r="S138" s="15" t="n">
        <v>109</v>
      </c>
      <c r="T138" s="15" t="n">
        <v>105</v>
      </c>
      <c r="U138" s="15"/>
      <c r="V138" s="15" t="s">
        <v>445</v>
      </c>
      <c r="W138" s="15" t="n">
        <v>43</v>
      </c>
      <c r="X138" s="15" t="s">
        <v>617</v>
      </c>
      <c r="Y138" s="15" t="s">
        <v>618</v>
      </c>
      <c r="Z138" s="15" t="s">
        <v>163</v>
      </c>
      <c r="AA138" s="15" t="s">
        <v>619</v>
      </c>
      <c r="AB138" s="15" t="s">
        <v>620</v>
      </c>
      <c r="AC138" s="15"/>
      <c r="AD138" s="15" t="s">
        <v>177</v>
      </c>
      <c r="AE138" s="26"/>
      <c r="AF138" s="27"/>
      <c r="AG138" s="27"/>
      <c r="AH138" s="27"/>
      <c r="AI138" s="26"/>
      <c r="AJ138" s="14" t="str">
        <f aca="false">IF(AE138="","",IF(AND(AE138=M138,ABS(N(AF138)-N(O138))&lt;=0.01,ABS(N(AG138)-N(P138))&lt;=0.01,ABS(N(AH138)-N(Q138))&lt;=0.01),"Y","N"))</f>
        <v/>
      </c>
      <c r="AK138" s="15" t="s">
        <v>272</v>
      </c>
      <c r="AL138" s="25" t="n">
        <v>108.31</v>
      </c>
      <c r="AM138" s="14" t="str">
        <f aca="false">IF(OR(AL138="",O138=""),"",IF(ABS(N(AL138)-N(O138))&lt;=0.01,"Y","N"))</f>
        <v>Y</v>
      </c>
      <c r="AN138" s="15" t="s">
        <v>11</v>
      </c>
      <c r="AO138" s="14" t="str">
        <f aca="false">IFERROR(INDEX(studies!$L:$L,MATCH($C138,studies!$A:$A,0)),"")</f>
        <v>Y</v>
      </c>
      <c r="AP138" s="14" t="str">
        <f aca="false">IF(AND(M138="REPORTED",V138=""),"출처 누락",IF(AND(M138="NOT_FOUND",AC138=""),"검색범위 누락",IF(F138="ARM",IF(OR(H138="",H138="NA"),"arm 누락","OK"),IF(F138="COMPARISON",IF(OR(I138="",I138="NA"),"비교쌍 누락",IF(OR(G138="",G138="NA"),"analysis_id 누락","OK")),IF(F138="","","OK")))))</f>
        <v>OK</v>
      </c>
      <c r="AQ138" s="13" t="s">
        <v>539</v>
      </c>
    </row>
    <row r="139" customFormat="false" ht="29.85" hidden="false" customHeight="false" outlineLevel="0" collapsed="false">
      <c r="A139" s="15" t="s">
        <v>621</v>
      </c>
      <c r="B139" s="15" t="s">
        <v>443</v>
      </c>
      <c r="C139" s="15" t="s">
        <v>83</v>
      </c>
      <c r="D139" s="15" t="s">
        <v>264</v>
      </c>
      <c r="E139" s="14" t="str">
        <f aca="false">IFERROR(INDEX(field_dictionary!$B:$B,MATCH($D139,field_dictionary!$A:$A,0)),"")</f>
        <v>PK</v>
      </c>
      <c r="F139" s="14" t="str">
        <f aca="false">IFERROR(INDEX(field_dictionary!$C:$C,MATCH($D139,field_dictionary!$A:$A,0)),"")</f>
        <v>COMPARISON</v>
      </c>
      <c r="G139" s="15" t="s">
        <v>154</v>
      </c>
      <c r="H139" s="15" t="s">
        <v>155</v>
      </c>
      <c r="I139" s="15" t="s">
        <v>275</v>
      </c>
      <c r="J139" s="15" t="s">
        <v>233</v>
      </c>
      <c r="K139" s="15" t="s">
        <v>266</v>
      </c>
      <c r="L139" s="15" t="s">
        <v>171</v>
      </c>
      <c r="M139" s="15" t="s">
        <v>62</v>
      </c>
      <c r="N139" s="15" t="s">
        <v>622</v>
      </c>
      <c r="O139" s="25" t="n">
        <v>100.56</v>
      </c>
      <c r="P139" s="25" t="n">
        <v>94.76</v>
      </c>
      <c r="Q139" s="25" t="n">
        <v>106.71</v>
      </c>
      <c r="R139" s="15" t="s">
        <v>160</v>
      </c>
      <c r="S139" s="15" t="n">
        <v>109</v>
      </c>
      <c r="T139" s="15" t="n">
        <v>105</v>
      </c>
      <c r="U139" s="15"/>
      <c r="V139" s="15" t="s">
        <v>445</v>
      </c>
      <c r="W139" s="15" t="n">
        <v>43</v>
      </c>
      <c r="X139" s="15" t="s">
        <v>617</v>
      </c>
      <c r="Y139" s="15" t="s">
        <v>618</v>
      </c>
      <c r="Z139" s="15" t="s">
        <v>163</v>
      </c>
      <c r="AA139" s="15" t="s">
        <v>623</v>
      </c>
      <c r="AB139" s="15" t="s">
        <v>620</v>
      </c>
      <c r="AC139" s="15"/>
      <c r="AD139" s="15" t="s">
        <v>177</v>
      </c>
      <c r="AE139" s="26"/>
      <c r="AF139" s="27"/>
      <c r="AG139" s="27"/>
      <c r="AH139" s="27"/>
      <c r="AI139" s="26"/>
      <c r="AJ139" s="14" t="str">
        <f aca="false">IF(AE139="","",IF(AND(AE139=M139,ABS(N(AF139)-N(O139))&lt;=0.01,ABS(N(AG139)-N(P139))&lt;=0.01,ABS(N(AH139)-N(Q139))&lt;=0.01),"Y","N"))</f>
        <v/>
      </c>
      <c r="AK139" s="15"/>
      <c r="AL139" s="25"/>
      <c r="AM139" s="14" t="str">
        <f aca="false">IF(OR(AL139="",O139=""),"",IF(ABS(N(AL139)-N(O139))&lt;=0.01,"Y","N"))</f>
        <v/>
      </c>
      <c r="AN139" s="15" t="s">
        <v>11</v>
      </c>
      <c r="AO139" s="14" t="str">
        <f aca="false">IFERROR(INDEX(studies!$L:$L,MATCH($C139,studies!$A:$A,0)),"")</f>
        <v>Y</v>
      </c>
      <c r="AP139" s="14" t="str">
        <f aca="false">IF(AND(M139="REPORTED",V139=""),"출처 누락",IF(AND(M139="NOT_FOUND",AC139=""),"검색범위 누락",IF(F139="ARM",IF(OR(H139="",H139="NA"),"arm 누락","OK"),IF(F139="COMPARISON",IF(OR(I139="",I139="NA"),"비교쌍 누락",IF(OR(G139="",G139="NA"),"analysis_id 누락","OK")),IF(F139="","","OK")))))</f>
        <v>OK</v>
      </c>
      <c r="AQ139" s="13" t="s">
        <v>539</v>
      </c>
    </row>
    <row r="140" customFormat="false" ht="29.85" hidden="false" customHeight="false" outlineLevel="0" collapsed="false">
      <c r="A140" s="15" t="s">
        <v>624</v>
      </c>
      <c r="B140" s="15" t="s">
        <v>443</v>
      </c>
      <c r="C140" s="15" t="s">
        <v>83</v>
      </c>
      <c r="D140" s="15" t="s">
        <v>264</v>
      </c>
      <c r="E140" s="14" t="str">
        <f aca="false">IFERROR(INDEX(field_dictionary!$B:$B,MATCH($D140,field_dictionary!$A:$A,0)),"")</f>
        <v>PK</v>
      </c>
      <c r="F140" s="14" t="str">
        <f aca="false">IFERROR(INDEX(field_dictionary!$C:$C,MATCH($D140,field_dictionary!$A:$A,0)),"")</f>
        <v>COMPARISON</v>
      </c>
      <c r="G140" s="15" t="s">
        <v>154</v>
      </c>
      <c r="H140" s="15" t="s">
        <v>155</v>
      </c>
      <c r="I140" s="15" t="s">
        <v>279</v>
      </c>
      <c r="J140" s="15" t="s">
        <v>233</v>
      </c>
      <c r="K140" s="15" t="s">
        <v>266</v>
      </c>
      <c r="L140" s="15" t="s">
        <v>171</v>
      </c>
      <c r="M140" s="15" t="s">
        <v>62</v>
      </c>
      <c r="N140" s="15" t="s">
        <v>625</v>
      </c>
      <c r="O140" s="25" t="n">
        <v>92.84</v>
      </c>
      <c r="P140" s="25" t="n">
        <v>87.44</v>
      </c>
      <c r="Q140" s="25" t="n">
        <v>98.57</v>
      </c>
      <c r="R140" s="15" t="s">
        <v>160</v>
      </c>
      <c r="S140" s="15" t="n">
        <v>105</v>
      </c>
      <c r="T140" s="15" t="n">
        <v>105</v>
      </c>
      <c r="U140" s="15"/>
      <c r="V140" s="15" t="s">
        <v>445</v>
      </c>
      <c r="W140" s="15" t="n">
        <v>43</v>
      </c>
      <c r="X140" s="15" t="s">
        <v>617</v>
      </c>
      <c r="Y140" s="15" t="s">
        <v>618</v>
      </c>
      <c r="Z140" s="15" t="s">
        <v>163</v>
      </c>
      <c r="AA140" s="15" t="s">
        <v>626</v>
      </c>
      <c r="AB140" s="15" t="s">
        <v>620</v>
      </c>
      <c r="AC140" s="15"/>
      <c r="AD140" s="15" t="s">
        <v>177</v>
      </c>
      <c r="AE140" s="26"/>
      <c r="AF140" s="27"/>
      <c r="AG140" s="27"/>
      <c r="AH140" s="27"/>
      <c r="AI140" s="26"/>
      <c r="AJ140" s="14" t="str">
        <f aca="false">IF(AE140="","",IF(AND(AE140=M140,ABS(N(AF140)-N(O140))&lt;=0.01,ABS(N(AG140)-N(P140))&lt;=0.01,ABS(N(AH140)-N(Q140))&lt;=0.01),"Y","N"))</f>
        <v/>
      </c>
      <c r="AK140" s="15"/>
      <c r="AL140" s="25"/>
      <c r="AM140" s="14" t="str">
        <f aca="false">IF(OR(AL140="",O140=""),"",IF(ABS(N(AL140)-N(O140))&lt;=0.01,"Y","N"))</f>
        <v/>
      </c>
      <c r="AN140" s="15" t="s">
        <v>11</v>
      </c>
      <c r="AO140" s="14" t="str">
        <f aca="false">IFERROR(INDEX(studies!$L:$L,MATCH($C140,studies!$A:$A,0)),"")</f>
        <v>Y</v>
      </c>
      <c r="AP140" s="14" t="str">
        <f aca="false">IF(AND(M140="REPORTED",V140=""),"출처 누락",IF(AND(M140="NOT_FOUND",AC140=""),"검색범위 누락",IF(F140="ARM",IF(OR(H140="",H140="NA"),"arm 누락","OK"),IF(F140="COMPARISON",IF(OR(I140="",I140="NA"),"비교쌍 누락",IF(OR(G140="",G140="NA"),"analysis_id 누락","OK")),IF(F140="","","OK")))))</f>
        <v>OK</v>
      </c>
      <c r="AQ140" s="13" t="s">
        <v>539</v>
      </c>
    </row>
    <row r="141" customFormat="false" ht="29.85" hidden="false" customHeight="false" outlineLevel="0" collapsed="false">
      <c r="A141" s="15" t="s">
        <v>627</v>
      </c>
      <c r="B141" s="15" t="s">
        <v>443</v>
      </c>
      <c r="C141" s="15" t="s">
        <v>83</v>
      </c>
      <c r="D141" s="15" t="s">
        <v>166</v>
      </c>
      <c r="E141" s="14" t="str">
        <f aca="false">IFERROR(INDEX(field_dictionary!$B:$B,MATCH($D141,field_dictionary!$A:$A,0)),"")</f>
        <v>PK</v>
      </c>
      <c r="F141" s="14" t="str">
        <f aca="false">IFERROR(INDEX(field_dictionary!$C:$C,MATCH($D141,field_dictionary!$A:$A,0)),"")</f>
        <v>COMPARISON</v>
      </c>
      <c r="G141" s="15" t="s">
        <v>154</v>
      </c>
      <c r="H141" s="15" t="s">
        <v>155</v>
      </c>
      <c r="I141" s="15" t="s">
        <v>265</v>
      </c>
      <c r="J141" s="15" t="s">
        <v>233</v>
      </c>
      <c r="K141" s="15" t="s">
        <v>266</v>
      </c>
      <c r="L141" s="15" t="s">
        <v>171</v>
      </c>
      <c r="M141" s="15" t="s">
        <v>62</v>
      </c>
      <c r="N141" s="15" t="s">
        <v>628</v>
      </c>
      <c r="O141" s="25" t="n">
        <v>101.25</v>
      </c>
      <c r="P141" s="25" t="n">
        <v>95.14</v>
      </c>
      <c r="Q141" s="25" t="n">
        <v>107.76</v>
      </c>
      <c r="R141" s="15" t="s">
        <v>160</v>
      </c>
      <c r="S141" s="15" t="n">
        <v>110</v>
      </c>
      <c r="T141" s="15" t="n">
        <v>105</v>
      </c>
      <c r="U141" s="15"/>
      <c r="V141" s="15" t="s">
        <v>445</v>
      </c>
      <c r="W141" s="15" t="n">
        <v>43</v>
      </c>
      <c r="X141" s="15" t="s">
        <v>617</v>
      </c>
      <c r="Y141" s="15" t="s">
        <v>618</v>
      </c>
      <c r="Z141" s="15" t="s">
        <v>163</v>
      </c>
      <c r="AA141" s="15" t="s">
        <v>629</v>
      </c>
      <c r="AB141" s="15" t="s">
        <v>620</v>
      </c>
      <c r="AC141" s="15"/>
      <c r="AD141" s="15" t="s">
        <v>177</v>
      </c>
      <c r="AE141" s="26"/>
      <c r="AF141" s="27"/>
      <c r="AG141" s="27"/>
      <c r="AH141" s="27"/>
      <c r="AI141" s="26"/>
      <c r="AJ141" s="14" t="str">
        <f aca="false">IF(AE141="","",IF(AND(AE141=M141,ABS(N(AF141)-N(O141))&lt;=0.01,ABS(N(AG141)-N(P141))&lt;=0.01,ABS(N(AH141)-N(Q141))&lt;=0.01),"Y","N"))</f>
        <v/>
      </c>
      <c r="AK141" s="15" t="s">
        <v>272</v>
      </c>
      <c r="AL141" s="25" t="n">
        <v>101.25</v>
      </c>
      <c r="AM141" s="14" t="str">
        <f aca="false">IF(OR(AL141="",O141=""),"",IF(ABS(N(AL141)-N(O141))&lt;=0.01,"Y","N"))</f>
        <v>Y</v>
      </c>
      <c r="AN141" s="15" t="s">
        <v>11</v>
      </c>
      <c r="AO141" s="14" t="str">
        <f aca="false">IFERROR(INDEX(studies!$L:$L,MATCH($C141,studies!$A:$A,0)),"")</f>
        <v>Y</v>
      </c>
      <c r="AP141" s="14" t="str">
        <f aca="false">IF(AND(M141="REPORTED",V141=""),"출처 누락",IF(AND(M141="NOT_FOUND",AC141=""),"검색범위 누락",IF(F141="ARM",IF(OR(H141="",H141="NA"),"arm 누락","OK"),IF(F141="COMPARISON",IF(OR(I141="",I141="NA"),"비교쌍 누락",IF(OR(G141="",G141="NA"),"analysis_id 누락","OK")),IF(F141="","","OK")))))</f>
        <v>OK</v>
      </c>
      <c r="AQ141" s="13" t="s">
        <v>539</v>
      </c>
    </row>
    <row r="142" customFormat="false" ht="29.85" hidden="false" customHeight="false" outlineLevel="0" collapsed="false">
      <c r="A142" s="15" t="s">
        <v>630</v>
      </c>
      <c r="B142" s="15" t="s">
        <v>443</v>
      </c>
      <c r="C142" s="15" t="s">
        <v>83</v>
      </c>
      <c r="D142" s="15" t="s">
        <v>166</v>
      </c>
      <c r="E142" s="14" t="str">
        <f aca="false">IFERROR(INDEX(field_dictionary!$B:$B,MATCH($D142,field_dictionary!$A:$A,0)),"")</f>
        <v>PK</v>
      </c>
      <c r="F142" s="14" t="str">
        <f aca="false">IFERROR(INDEX(field_dictionary!$C:$C,MATCH($D142,field_dictionary!$A:$A,0)),"")</f>
        <v>COMPARISON</v>
      </c>
      <c r="G142" s="15" t="s">
        <v>154</v>
      </c>
      <c r="H142" s="15" t="s">
        <v>155</v>
      </c>
      <c r="I142" s="15" t="s">
        <v>275</v>
      </c>
      <c r="J142" s="15" t="s">
        <v>233</v>
      </c>
      <c r="K142" s="15" t="s">
        <v>266</v>
      </c>
      <c r="L142" s="15" t="s">
        <v>171</v>
      </c>
      <c r="M142" s="15" t="s">
        <v>62</v>
      </c>
      <c r="N142" s="15" t="s">
        <v>631</v>
      </c>
      <c r="O142" s="25" t="n">
        <v>95.03</v>
      </c>
      <c r="P142" s="25" t="n">
        <v>89.29</v>
      </c>
      <c r="Q142" s="25" t="n">
        <v>101.13</v>
      </c>
      <c r="R142" s="15" t="s">
        <v>160</v>
      </c>
      <c r="S142" s="15" t="n">
        <v>110</v>
      </c>
      <c r="T142" s="15" t="n">
        <v>105</v>
      </c>
      <c r="U142" s="15"/>
      <c r="V142" s="15" t="s">
        <v>445</v>
      </c>
      <c r="W142" s="15" t="n">
        <v>43</v>
      </c>
      <c r="X142" s="15" t="s">
        <v>617</v>
      </c>
      <c r="Y142" s="15" t="s">
        <v>618</v>
      </c>
      <c r="Z142" s="15" t="s">
        <v>163</v>
      </c>
      <c r="AA142" s="15" t="s">
        <v>632</v>
      </c>
      <c r="AB142" s="15" t="s">
        <v>620</v>
      </c>
      <c r="AC142" s="15"/>
      <c r="AD142" s="15" t="s">
        <v>177</v>
      </c>
      <c r="AE142" s="26"/>
      <c r="AF142" s="27"/>
      <c r="AG142" s="27"/>
      <c r="AH142" s="27"/>
      <c r="AI142" s="26"/>
      <c r="AJ142" s="14" t="str">
        <f aca="false">IF(AE142="","",IF(AND(AE142=M142,ABS(N(AF142)-N(O142))&lt;=0.01,ABS(N(AG142)-N(P142))&lt;=0.01,ABS(N(AH142)-N(Q142))&lt;=0.01),"Y","N"))</f>
        <v/>
      </c>
      <c r="AK142" s="15"/>
      <c r="AL142" s="25"/>
      <c r="AM142" s="14" t="str">
        <f aca="false">IF(OR(AL142="",O142=""),"",IF(ABS(N(AL142)-N(O142))&lt;=0.01,"Y","N"))</f>
        <v/>
      </c>
      <c r="AN142" s="15" t="s">
        <v>11</v>
      </c>
      <c r="AO142" s="14" t="str">
        <f aca="false">IFERROR(INDEX(studies!$L:$L,MATCH($C142,studies!$A:$A,0)),"")</f>
        <v>Y</v>
      </c>
      <c r="AP142" s="14" t="str">
        <f aca="false">IF(AND(M142="REPORTED",V142=""),"출처 누락",IF(AND(M142="NOT_FOUND",AC142=""),"검색범위 누락",IF(F142="ARM",IF(OR(H142="",H142="NA"),"arm 누락","OK"),IF(F142="COMPARISON",IF(OR(I142="",I142="NA"),"비교쌍 누락",IF(OR(G142="",G142="NA"),"analysis_id 누락","OK")),IF(F142="","","OK")))))</f>
        <v>OK</v>
      </c>
      <c r="AQ142" s="13" t="s">
        <v>539</v>
      </c>
    </row>
    <row r="143" customFormat="false" ht="29.85" hidden="false" customHeight="false" outlineLevel="0" collapsed="false">
      <c r="A143" s="15" t="s">
        <v>633</v>
      </c>
      <c r="B143" s="15" t="s">
        <v>443</v>
      </c>
      <c r="C143" s="15" t="s">
        <v>83</v>
      </c>
      <c r="D143" s="15" t="s">
        <v>166</v>
      </c>
      <c r="E143" s="14" t="str">
        <f aca="false">IFERROR(INDEX(field_dictionary!$B:$B,MATCH($D143,field_dictionary!$A:$A,0)),"")</f>
        <v>PK</v>
      </c>
      <c r="F143" s="14" t="str">
        <f aca="false">IFERROR(INDEX(field_dictionary!$C:$C,MATCH($D143,field_dictionary!$A:$A,0)),"")</f>
        <v>COMPARISON</v>
      </c>
      <c r="G143" s="15" t="s">
        <v>154</v>
      </c>
      <c r="H143" s="15" t="s">
        <v>155</v>
      </c>
      <c r="I143" s="15" t="s">
        <v>279</v>
      </c>
      <c r="J143" s="15" t="s">
        <v>233</v>
      </c>
      <c r="K143" s="15" t="s">
        <v>266</v>
      </c>
      <c r="L143" s="15" t="s">
        <v>171</v>
      </c>
      <c r="M143" s="15" t="s">
        <v>62</v>
      </c>
      <c r="N143" s="15" t="s">
        <v>634</v>
      </c>
      <c r="O143" s="25" t="n">
        <v>93.85</v>
      </c>
      <c r="P143" s="25" t="n">
        <v>88.12</v>
      </c>
      <c r="Q143" s="25" t="n">
        <v>99.96</v>
      </c>
      <c r="R143" s="15" t="s">
        <v>160</v>
      </c>
      <c r="S143" s="15" t="n">
        <v>105</v>
      </c>
      <c r="T143" s="15" t="n">
        <v>105</v>
      </c>
      <c r="U143" s="15"/>
      <c r="V143" s="15" t="s">
        <v>445</v>
      </c>
      <c r="W143" s="15" t="n">
        <v>43</v>
      </c>
      <c r="X143" s="15" t="s">
        <v>617</v>
      </c>
      <c r="Y143" s="15" t="s">
        <v>618</v>
      </c>
      <c r="Z143" s="15" t="s">
        <v>163</v>
      </c>
      <c r="AA143" s="15" t="s">
        <v>635</v>
      </c>
      <c r="AB143" s="15" t="s">
        <v>620</v>
      </c>
      <c r="AC143" s="15"/>
      <c r="AD143" s="15" t="s">
        <v>177</v>
      </c>
      <c r="AE143" s="26"/>
      <c r="AF143" s="27"/>
      <c r="AG143" s="27"/>
      <c r="AH143" s="27"/>
      <c r="AI143" s="26"/>
      <c r="AJ143" s="14" t="str">
        <f aca="false">IF(AE143="","",IF(AND(AE143=M143,ABS(N(AF143)-N(O143))&lt;=0.01,ABS(N(AG143)-N(P143))&lt;=0.01,ABS(N(AH143)-N(Q143))&lt;=0.01),"Y","N"))</f>
        <v/>
      </c>
      <c r="AK143" s="15"/>
      <c r="AL143" s="25"/>
      <c r="AM143" s="14" t="str">
        <f aca="false">IF(OR(AL143="",O143=""),"",IF(ABS(N(AL143)-N(O143))&lt;=0.01,"Y","N"))</f>
        <v/>
      </c>
      <c r="AN143" s="15" t="s">
        <v>11</v>
      </c>
      <c r="AO143" s="14" t="str">
        <f aca="false">IFERROR(INDEX(studies!$L:$L,MATCH($C143,studies!$A:$A,0)),"")</f>
        <v>Y</v>
      </c>
      <c r="AP143" s="14" t="str">
        <f aca="false">IF(AND(M143="REPORTED",V143=""),"출처 누락",IF(AND(M143="NOT_FOUND",AC143=""),"검색범위 누락",IF(F143="ARM",IF(OR(H143="",H143="NA"),"arm 누락","OK"),IF(F143="COMPARISON",IF(OR(I143="",I143="NA"),"비교쌍 누락",IF(OR(G143="",G143="NA"),"analysis_id 누락","OK")),IF(F143="","","OK")))))</f>
        <v>OK</v>
      </c>
      <c r="AQ143" s="13" t="s">
        <v>539</v>
      </c>
    </row>
    <row r="144" customFormat="false" ht="44" hidden="false" customHeight="false" outlineLevel="0" collapsed="false">
      <c r="A144" s="15" t="s">
        <v>636</v>
      </c>
      <c r="B144" s="15" t="s">
        <v>443</v>
      </c>
      <c r="C144" s="15" t="s">
        <v>83</v>
      </c>
      <c r="D144" s="15" t="s">
        <v>286</v>
      </c>
      <c r="E144" s="14" t="str">
        <f aca="false">IFERROR(INDEX(field_dictionary!$B:$B,MATCH($D144,field_dictionary!$A:$A,0)),"")</f>
        <v>PK</v>
      </c>
      <c r="F144" s="14" t="str">
        <f aca="false">IFERROR(INDEX(field_dictionary!$C:$C,MATCH($D144,field_dictionary!$A:$A,0)),"")</f>
        <v>COMPARISON</v>
      </c>
      <c r="G144" s="15" t="s">
        <v>154</v>
      </c>
      <c r="H144" s="15" t="s">
        <v>155</v>
      </c>
      <c r="I144" s="15" t="s">
        <v>265</v>
      </c>
      <c r="J144" s="15" t="s">
        <v>233</v>
      </c>
      <c r="K144" s="15" t="s">
        <v>266</v>
      </c>
      <c r="L144" s="15" t="s">
        <v>171</v>
      </c>
      <c r="M144" s="15" t="s">
        <v>66</v>
      </c>
      <c r="N144" s="15"/>
      <c r="O144" s="25"/>
      <c r="P144" s="25"/>
      <c r="Q144" s="25"/>
      <c r="R144" s="15"/>
      <c r="S144" s="15"/>
      <c r="T144" s="15"/>
      <c r="U144" s="15"/>
      <c r="V144" s="15" t="s">
        <v>445</v>
      </c>
      <c r="W144" s="15"/>
      <c r="X144" s="15"/>
      <c r="Y144" s="15"/>
      <c r="Z144" s="15"/>
      <c r="AA144" s="15"/>
      <c r="AB144" s="15"/>
      <c r="AC144" s="15" t="s">
        <v>637</v>
      </c>
      <c r="AD144" s="15" t="s">
        <v>259</v>
      </c>
      <c r="AE144" s="26"/>
      <c r="AF144" s="27"/>
      <c r="AG144" s="27"/>
      <c r="AH144" s="27"/>
      <c r="AI144" s="26"/>
      <c r="AJ144" s="14" t="str">
        <f aca="false">IF(AE144="","",IF(AND(AE144=M144,ABS(N(AF144)-N(O144))&lt;=0.01,ABS(N(AG144)-N(P144))&lt;=0.01,ABS(N(AH144)-N(Q144))&lt;=0.01),"Y","N"))</f>
        <v/>
      </c>
      <c r="AK144" s="15"/>
      <c r="AL144" s="25"/>
      <c r="AM144" s="14" t="str">
        <f aca="false">IF(OR(AL144="",O144=""),"",IF(ABS(N(AL144)-N(O144))&lt;=0.01,"Y","N"))</f>
        <v/>
      </c>
      <c r="AN144" s="15" t="s">
        <v>11</v>
      </c>
      <c r="AO144" s="14" t="str">
        <f aca="false">IFERROR(INDEX(studies!$L:$L,MATCH($C144,studies!$A:$A,0)),"")</f>
        <v>Y</v>
      </c>
      <c r="AP144" s="14" t="str">
        <f aca="false">IF(AND(M144="REPORTED",V144=""),"출처 누락",IF(AND(M144="NOT_FOUND",AC144=""),"검색범위 누락",IF(F144="ARM",IF(OR(H144="",H144="NA"),"arm 누락","OK"),IF(F144="COMPARISON",IF(OR(I144="",I144="NA"),"비교쌍 누락",IF(OR(G144="",G144="NA"),"analysis_id 누락","OK")),IF(F144="","","OK")))))</f>
        <v>OK</v>
      </c>
      <c r="AQ144" s="15"/>
    </row>
    <row r="145" customFormat="false" ht="35.05" hidden="false" customHeight="false" outlineLevel="0" collapsed="false">
      <c r="A145" s="15" t="s">
        <v>638</v>
      </c>
      <c r="B145" s="15" t="s">
        <v>443</v>
      </c>
      <c r="C145" s="15" t="s">
        <v>83</v>
      </c>
      <c r="D145" s="15" t="s">
        <v>291</v>
      </c>
      <c r="E145" s="14" t="str">
        <f aca="false">IFERROR(INDEX(field_dictionary!$B:$B,MATCH($D145,field_dictionary!$A:$A,0)),"")</f>
        <v>PK</v>
      </c>
      <c r="F145" s="14" t="str">
        <f aca="false">IFERROR(INDEX(field_dictionary!$C:$C,MATCH($D145,field_dictionary!$A:$A,0)),"")</f>
        <v>COMPARISON</v>
      </c>
      <c r="G145" s="15" t="s">
        <v>154</v>
      </c>
      <c r="H145" s="15" t="s">
        <v>155</v>
      </c>
      <c r="I145" s="15" t="s">
        <v>265</v>
      </c>
      <c r="J145" s="15" t="s">
        <v>233</v>
      </c>
      <c r="K145" s="15"/>
      <c r="L145" s="15" t="s">
        <v>171</v>
      </c>
      <c r="M145" s="15" t="s">
        <v>62</v>
      </c>
      <c r="N145" s="15" t="s">
        <v>292</v>
      </c>
      <c r="O145" s="25"/>
      <c r="P145" s="25"/>
      <c r="Q145" s="25"/>
      <c r="R145" s="15"/>
      <c r="S145" s="15"/>
      <c r="T145" s="15"/>
      <c r="U145" s="15"/>
      <c r="V145" s="15" t="s">
        <v>445</v>
      </c>
      <c r="W145" s="15" t="n">
        <v>44</v>
      </c>
      <c r="X145" s="15" t="s">
        <v>639</v>
      </c>
      <c r="Y145" s="15" t="s">
        <v>640</v>
      </c>
      <c r="Z145" s="15" t="s">
        <v>163</v>
      </c>
      <c r="AA145" s="15" t="s">
        <v>641</v>
      </c>
      <c r="AB145" s="15"/>
      <c r="AC145" s="15"/>
      <c r="AD145" s="15" t="s">
        <v>177</v>
      </c>
      <c r="AE145" s="26"/>
      <c r="AF145" s="27"/>
      <c r="AG145" s="27"/>
      <c r="AH145" s="27"/>
      <c r="AI145" s="26"/>
      <c r="AJ145" s="14" t="str">
        <f aca="false">IF(AE145="","",IF(AND(AE145=M145,ABS(N(AF145)-N(O145))&lt;=0.01,ABS(N(AG145)-N(P145))&lt;=0.01,ABS(N(AH145)-N(Q145))&lt;=0.01),"Y","N"))</f>
        <v/>
      </c>
      <c r="AK145" s="15"/>
      <c r="AL145" s="25"/>
      <c r="AM145" s="14" t="str">
        <f aca="false">IF(OR(AL145="",O145=""),"",IF(ABS(N(AL145)-N(O145))&lt;=0.01,"Y","N"))</f>
        <v/>
      </c>
      <c r="AN145" s="15" t="s">
        <v>11</v>
      </c>
      <c r="AO145" s="14" t="str">
        <f aca="false">IFERROR(INDEX(studies!$L:$L,MATCH($C145,studies!$A:$A,0)),"")</f>
        <v>Y</v>
      </c>
      <c r="AP145" s="14" t="str">
        <f aca="false">IF(AND(M145="REPORTED",V145=""),"출처 누락",IF(AND(M145="NOT_FOUND",AC145=""),"검색범위 누락",IF(F145="ARM",IF(OR(H145="",H145="NA"),"arm 누락","OK"),IF(F145="COMPARISON",IF(OR(I145="",I145="NA"),"비교쌍 누락",IF(OR(G145="",G145="NA"),"analysis_id 누락","OK")),IF(F145="","","OK")))))</f>
        <v>OK</v>
      </c>
      <c r="AQ145" s="15"/>
    </row>
    <row r="146" customFormat="false" ht="44" hidden="false" customHeight="false" outlineLevel="0" collapsed="false">
      <c r="A146" s="15" t="s">
        <v>642</v>
      </c>
      <c r="B146" s="15" t="s">
        <v>443</v>
      </c>
      <c r="C146" s="15" t="s">
        <v>83</v>
      </c>
      <c r="D146" s="15" t="s">
        <v>286</v>
      </c>
      <c r="E146" s="14" t="str">
        <f aca="false">IFERROR(INDEX(field_dictionary!$B:$B,MATCH($D146,field_dictionary!$A:$A,0)),"")</f>
        <v>PK</v>
      </c>
      <c r="F146" s="14" t="str">
        <f aca="false">IFERROR(INDEX(field_dictionary!$C:$C,MATCH($D146,field_dictionary!$A:$A,0)),"")</f>
        <v>COMPARISON</v>
      </c>
      <c r="G146" s="15" t="s">
        <v>154</v>
      </c>
      <c r="H146" s="15" t="s">
        <v>155</v>
      </c>
      <c r="I146" s="15" t="s">
        <v>275</v>
      </c>
      <c r="J146" s="15" t="s">
        <v>233</v>
      </c>
      <c r="K146" s="15" t="s">
        <v>266</v>
      </c>
      <c r="L146" s="15" t="s">
        <v>171</v>
      </c>
      <c r="M146" s="15" t="s">
        <v>66</v>
      </c>
      <c r="N146" s="15"/>
      <c r="O146" s="25"/>
      <c r="P146" s="25"/>
      <c r="Q146" s="25"/>
      <c r="R146" s="15"/>
      <c r="S146" s="15"/>
      <c r="T146" s="15"/>
      <c r="U146" s="15"/>
      <c r="V146" s="15" t="s">
        <v>445</v>
      </c>
      <c r="W146" s="15"/>
      <c r="X146" s="15"/>
      <c r="Y146" s="15"/>
      <c r="Z146" s="15"/>
      <c r="AA146" s="15"/>
      <c r="AB146" s="15"/>
      <c r="AC146" s="15" t="s">
        <v>637</v>
      </c>
      <c r="AD146" s="15" t="s">
        <v>259</v>
      </c>
      <c r="AE146" s="26"/>
      <c r="AF146" s="27"/>
      <c r="AG146" s="27"/>
      <c r="AH146" s="27"/>
      <c r="AI146" s="26"/>
      <c r="AJ146" s="14" t="str">
        <f aca="false">IF(AE146="","",IF(AND(AE146=M146,ABS(N(AF146)-N(O146))&lt;=0.01,ABS(N(AG146)-N(P146))&lt;=0.01,ABS(N(AH146)-N(Q146))&lt;=0.01),"Y","N"))</f>
        <v/>
      </c>
      <c r="AK146" s="15"/>
      <c r="AL146" s="25"/>
      <c r="AM146" s="14" t="str">
        <f aca="false">IF(OR(AL146="",O146=""),"",IF(ABS(N(AL146)-N(O146))&lt;=0.01,"Y","N"))</f>
        <v/>
      </c>
      <c r="AN146" s="15" t="s">
        <v>11</v>
      </c>
      <c r="AO146" s="14" t="str">
        <f aca="false">IFERROR(INDEX(studies!$L:$L,MATCH($C146,studies!$A:$A,0)),"")</f>
        <v>Y</v>
      </c>
      <c r="AP146" s="14" t="str">
        <f aca="false">IF(AND(M146="REPORTED",V146=""),"출처 누락",IF(AND(M146="NOT_FOUND",AC146=""),"검색범위 누락",IF(F146="ARM",IF(OR(H146="",H146="NA"),"arm 누락","OK"),IF(F146="COMPARISON",IF(OR(I146="",I146="NA"),"비교쌍 누락",IF(OR(G146="",G146="NA"),"analysis_id 누락","OK")),IF(F146="","","OK")))))</f>
        <v>OK</v>
      </c>
      <c r="AQ146" s="15"/>
    </row>
    <row r="147" customFormat="false" ht="35.05" hidden="false" customHeight="false" outlineLevel="0" collapsed="false">
      <c r="A147" s="15" t="s">
        <v>643</v>
      </c>
      <c r="B147" s="15" t="s">
        <v>443</v>
      </c>
      <c r="C147" s="15" t="s">
        <v>83</v>
      </c>
      <c r="D147" s="15" t="s">
        <v>291</v>
      </c>
      <c r="E147" s="14" t="str">
        <f aca="false">IFERROR(INDEX(field_dictionary!$B:$B,MATCH($D147,field_dictionary!$A:$A,0)),"")</f>
        <v>PK</v>
      </c>
      <c r="F147" s="14" t="str">
        <f aca="false">IFERROR(INDEX(field_dictionary!$C:$C,MATCH($D147,field_dictionary!$A:$A,0)),"")</f>
        <v>COMPARISON</v>
      </c>
      <c r="G147" s="15" t="s">
        <v>154</v>
      </c>
      <c r="H147" s="15" t="s">
        <v>155</v>
      </c>
      <c r="I147" s="15" t="s">
        <v>275</v>
      </c>
      <c r="J147" s="15" t="s">
        <v>233</v>
      </c>
      <c r="K147" s="15"/>
      <c r="L147" s="15" t="s">
        <v>171</v>
      </c>
      <c r="M147" s="15" t="s">
        <v>62</v>
      </c>
      <c r="N147" s="15" t="s">
        <v>292</v>
      </c>
      <c r="O147" s="25"/>
      <c r="P147" s="25"/>
      <c r="Q147" s="25"/>
      <c r="R147" s="15"/>
      <c r="S147" s="15"/>
      <c r="T147" s="15"/>
      <c r="U147" s="15"/>
      <c r="V147" s="15" t="s">
        <v>445</v>
      </c>
      <c r="W147" s="15" t="n">
        <v>44</v>
      </c>
      <c r="X147" s="15" t="s">
        <v>639</v>
      </c>
      <c r="Y147" s="15" t="s">
        <v>640</v>
      </c>
      <c r="Z147" s="15" t="s">
        <v>163</v>
      </c>
      <c r="AA147" s="15" t="s">
        <v>641</v>
      </c>
      <c r="AB147" s="15"/>
      <c r="AC147" s="15"/>
      <c r="AD147" s="15" t="s">
        <v>177</v>
      </c>
      <c r="AE147" s="26"/>
      <c r="AF147" s="27"/>
      <c r="AG147" s="27"/>
      <c r="AH147" s="27"/>
      <c r="AI147" s="26"/>
      <c r="AJ147" s="14" t="str">
        <f aca="false">IF(AE147="","",IF(AND(AE147=M147,ABS(N(AF147)-N(O147))&lt;=0.01,ABS(N(AG147)-N(P147))&lt;=0.01,ABS(N(AH147)-N(Q147))&lt;=0.01),"Y","N"))</f>
        <v/>
      </c>
      <c r="AK147" s="15"/>
      <c r="AL147" s="25"/>
      <c r="AM147" s="14" t="str">
        <f aca="false">IF(OR(AL147="",O147=""),"",IF(ABS(N(AL147)-N(O147))&lt;=0.01,"Y","N"))</f>
        <v/>
      </c>
      <c r="AN147" s="15" t="s">
        <v>11</v>
      </c>
      <c r="AO147" s="14" t="str">
        <f aca="false">IFERROR(INDEX(studies!$L:$L,MATCH($C147,studies!$A:$A,0)),"")</f>
        <v>Y</v>
      </c>
      <c r="AP147" s="14" t="str">
        <f aca="false">IF(AND(M147="REPORTED",V147=""),"출처 누락",IF(AND(M147="NOT_FOUND",AC147=""),"검색범위 누락",IF(F147="ARM",IF(OR(H147="",H147="NA"),"arm 누락","OK"),IF(F147="COMPARISON",IF(OR(I147="",I147="NA"),"비교쌍 누락",IF(OR(G147="",G147="NA"),"analysis_id 누락","OK")),IF(F147="","","OK")))))</f>
        <v>OK</v>
      </c>
      <c r="AQ147" s="15"/>
    </row>
    <row r="148" customFormat="false" ht="44" hidden="false" customHeight="false" outlineLevel="0" collapsed="false">
      <c r="A148" s="15" t="s">
        <v>644</v>
      </c>
      <c r="B148" s="15" t="s">
        <v>443</v>
      </c>
      <c r="C148" s="15" t="s">
        <v>83</v>
      </c>
      <c r="D148" s="15" t="s">
        <v>286</v>
      </c>
      <c r="E148" s="14" t="str">
        <f aca="false">IFERROR(INDEX(field_dictionary!$B:$B,MATCH($D148,field_dictionary!$A:$A,0)),"")</f>
        <v>PK</v>
      </c>
      <c r="F148" s="14" t="str">
        <f aca="false">IFERROR(INDEX(field_dictionary!$C:$C,MATCH($D148,field_dictionary!$A:$A,0)),"")</f>
        <v>COMPARISON</v>
      </c>
      <c r="G148" s="15" t="s">
        <v>154</v>
      </c>
      <c r="H148" s="15" t="s">
        <v>155</v>
      </c>
      <c r="I148" s="15" t="s">
        <v>279</v>
      </c>
      <c r="J148" s="15" t="s">
        <v>233</v>
      </c>
      <c r="K148" s="15" t="s">
        <v>266</v>
      </c>
      <c r="L148" s="15" t="s">
        <v>171</v>
      </c>
      <c r="M148" s="15" t="s">
        <v>66</v>
      </c>
      <c r="N148" s="15"/>
      <c r="O148" s="25"/>
      <c r="P148" s="25"/>
      <c r="Q148" s="25"/>
      <c r="R148" s="15"/>
      <c r="S148" s="15"/>
      <c r="T148" s="15"/>
      <c r="U148" s="15"/>
      <c r="V148" s="15" t="s">
        <v>445</v>
      </c>
      <c r="W148" s="15"/>
      <c r="X148" s="15"/>
      <c r="Y148" s="15"/>
      <c r="Z148" s="15"/>
      <c r="AA148" s="15"/>
      <c r="AB148" s="15"/>
      <c r="AC148" s="15" t="s">
        <v>637</v>
      </c>
      <c r="AD148" s="15" t="s">
        <v>259</v>
      </c>
      <c r="AE148" s="26"/>
      <c r="AF148" s="27"/>
      <c r="AG148" s="27"/>
      <c r="AH148" s="27"/>
      <c r="AI148" s="26"/>
      <c r="AJ148" s="14" t="str">
        <f aca="false">IF(AE148="","",IF(AND(AE148=M148,ABS(N(AF148)-N(O148))&lt;=0.01,ABS(N(AG148)-N(P148))&lt;=0.01,ABS(N(AH148)-N(Q148))&lt;=0.01),"Y","N"))</f>
        <v/>
      </c>
      <c r="AK148" s="15"/>
      <c r="AL148" s="25"/>
      <c r="AM148" s="14" t="str">
        <f aca="false">IF(OR(AL148="",O148=""),"",IF(ABS(N(AL148)-N(O148))&lt;=0.01,"Y","N"))</f>
        <v/>
      </c>
      <c r="AN148" s="15" t="s">
        <v>11</v>
      </c>
      <c r="AO148" s="14" t="str">
        <f aca="false">IFERROR(INDEX(studies!$L:$L,MATCH($C148,studies!$A:$A,0)),"")</f>
        <v>Y</v>
      </c>
      <c r="AP148" s="14" t="str">
        <f aca="false">IF(AND(M148="REPORTED",V148=""),"출처 누락",IF(AND(M148="NOT_FOUND",AC148=""),"검색범위 누락",IF(F148="ARM",IF(OR(H148="",H148="NA"),"arm 누락","OK"),IF(F148="COMPARISON",IF(OR(I148="",I148="NA"),"비교쌍 누락",IF(OR(G148="",G148="NA"),"analysis_id 누락","OK")),IF(F148="","","OK")))))</f>
        <v>OK</v>
      </c>
      <c r="AQ148" s="15"/>
    </row>
    <row r="149" customFormat="false" ht="35.05" hidden="false" customHeight="false" outlineLevel="0" collapsed="false">
      <c r="A149" s="15" t="s">
        <v>645</v>
      </c>
      <c r="B149" s="15" t="s">
        <v>443</v>
      </c>
      <c r="C149" s="15" t="s">
        <v>83</v>
      </c>
      <c r="D149" s="15" t="s">
        <v>291</v>
      </c>
      <c r="E149" s="14" t="str">
        <f aca="false">IFERROR(INDEX(field_dictionary!$B:$B,MATCH($D149,field_dictionary!$A:$A,0)),"")</f>
        <v>PK</v>
      </c>
      <c r="F149" s="14" t="str">
        <f aca="false">IFERROR(INDEX(field_dictionary!$C:$C,MATCH($D149,field_dictionary!$A:$A,0)),"")</f>
        <v>COMPARISON</v>
      </c>
      <c r="G149" s="15" t="s">
        <v>154</v>
      </c>
      <c r="H149" s="15" t="s">
        <v>155</v>
      </c>
      <c r="I149" s="15" t="s">
        <v>279</v>
      </c>
      <c r="J149" s="15" t="s">
        <v>233</v>
      </c>
      <c r="K149" s="15"/>
      <c r="L149" s="15" t="s">
        <v>171</v>
      </c>
      <c r="M149" s="15" t="s">
        <v>62</v>
      </c>
      <c r="N149" s="15" t="s">
        <v>292</v>
      </c>
      <c r="O149" s="25"/>
      <c r="P149" s="25"/>
      <c r="Q149" s="25"/>
      <c r="R149" s="15"/>
      <c r="S149" s="15"/>
      <c r="T149" s="15"/>
      <c r="U149" s="15"/>
      <c r="V149" s="15" t="s">
        <v>445</v>
      </c>
      <c r="W149" s="15" t="n">
        <v>44</v>
      </c>
      <c r="X149" s="15" t="s">
        <v>639</v>
      </c>
      <c r="Y149" s="15" t="s">
        <v>640</v>
      </c>
      <c r="Z149" s="15" t="s">
        <v>163</v>
      </c>
      <c r="AA149" s="15" t="s">
        <v>641</v>
      </c>
      <c r="AB149" s="15"/>
      <c r="AC149" s="15"/>
      <c r="AD149" s="15" t="s">
        <v>177</v>
      </c>
      <c r="AE149" s="26"/>
      <c r="AF149" s="27"/>
      <c r="AG149" s="27"/>
      <c r="AH149" s="27"/>
      <c r="AI149" s="26"/>
      <c r="AJ149" s="14" t="str">
        <f aca="false">IF(AE149="","",IF(AND(AE149=M149,ABS(N(AF149)-N(O149))&lt;=0.01,ABS(N(AG149)-N(P149))&lt;=0.01,ABS(N(AH149)-N(Q149))&lt;=0.01),"Y","N"))</f>
        <v/>
      </c>
      <c r="AK149" s="15"/>
      <c r="AL149" s="25"/>
      <c r="AM149" s="14" t="str">
        <f aca="false">IF(OR(AL149="",O149=""),"",IF(ABS(N(AL149)-N(O149))&lt;=0.01,"Y","N"))</f>
        <v/>
      </c>
      <c r="AN149" s="15" t="s">
        <v>11</v>
      </c>
      <c r="AO149" s="14" t="str">
        <f aca="false">IFERROR(INDEX(studies!$L:$L,MATCH($C149,studies!$A:$A,0)),"")</f>
        <v>Y</v>
      </c>
      <c r="AP149" s="14" t="str">
        <f aca="false">IF(AND(M149="REPORTED",V149=""),"출처 누락",IF(AND(M149="NOT_FOUND",AC149=""),"검색범위 누락",IF(F149="ARM",IF(OR(H149="",H149="NA"),"arm 누락","OK"),IF(F149="COMPARISON",IF(OR(I149="",I149="NA"),"비교쌍 누락",IF(OR(G149="",G149="NA"),"analysis_id 누락","OK")),IF(F149="","","OK")))))</f>
        <v>OK</v>
      </c>
      <c r="AQ149" s="15"/>
    </row>
    <row r="150" customFormat="false" ht="29.85" hidden="false" customHeight="false" outlineLevel="0" collapsed="false">
      <c r="A150" s="28" t="s">
        <v>646</v>
      </c>
      <c r="B150" s="28" t="s">
        <v>443</v>
      </c>
      <c r="C150" s="28" t="s">
        <v>647</v>
      </c>
      <c r="D150" s="28" t="s">
        <v>264</v>
      </c>
      <c r="E150" s="14" t="str">
        <f aca="false">IFERROR(INDEX(field_dictionary!$B:$B,MATCH($D150,field_dictionary!$A:$A,0)),"")</f>
        <v>PK</v>
      </c>
      <c r="F150" s="14" t="str">
        <f aca="false">IFERROR(INDEX(field_dictionary!$C:$C,MATCH($D150,field_dictionary!$A:$A,0)),"")</f>
        <v>COMPARISON</v>
      </c>
      <c r="G150" s="28" t="s">
        <v>648</v>
      </c>
      <c r="H150" s="28" t="s">
        <v>155</v>
      </c>
      <c r="I150" s="28" t="s">
        <v>265</v>
      </c>
      <c r="J150" s="28" t="s">
        <v>233</v>
      </c>
      <c r="K150" s="28" t="s">
        <v>266</v>
      </c>
      <c r="L150" s="28" t="s">
        <v>302</v>
      </c>
      <c r="M150" s="15" t="s">
        <v>62</v>
      </c>
      <c r="N150" s="15" t="s">
        <v>649</v>
      </c>
      <c r="O150" s="25"/>
      <c r="P150" s="25" t="n">
        <v>109.55</v>
      </c>
      <c r="Q150" s="25" t="n">
        <v>120.3</v>
      </c>
      <c r="R150" s="15" t="s">
        <v>160</v>
      </c>
      <c r="S150" s="15"/>
      <c r="T150" s="15"/>
      <c r="U150" s="15"/>
      <c r="V150" s="15" t="s">
        <v>445</v>
      </c>
      <c r="W150" s="15" t="n">
        <v>51</v>
      </c>
      <c r="X150" s="15" t="s">
        <v>650</v>
      </c>
      <c r="Y150" s="15" t="s">
        <v>651</v>
      </c>
      <c r="Z150" s="15" t="s">
        <v>163</v>
      </c>
      <c r="AA150" s="15" t="s">
        <v>652</v>
      </c>
      <c r="AB150" s="15"/>
      <c r="AC150" s="15"/>
      <c r="AD150" s="15" t="s">
        <v>177</v>
      </c>
      <c r="AE150" s="26"/>
      <c r="AF150" s="27"/>
      <c r="AG150" s="27"/>
      <c r="AH150" s="27"/>
      <c r="AI150" s="26"/>
      <c r="AJ150" s="14" t="str">
        <f aca="false">IF(AE150="","",IF(AND(AE150=M150,ABS(N(AF150)-N(O150))&lt;=0.01,ABS(N(AG150)-N(P150))&lt;=0.01,ABS(N(AH150)-N(Q150))&lt;=0.01),"Y","N"))</f>
        <v/>
      </c>
      <c r="AK150" s="15"/>
      <c r="AL150" s="25"/>
      <c r="AM150" s="14" t="str">
        <f aca="false">IF(OR(AL150="",O150=""),"",IF(ABS(N(AL150)-N(O150))&lt;=0.01,"Y","N"))</f>
        <v/>
      </c>
      <c r="AN150" s="15" t="s">
        <v>11</v>
      </c>
      <c r="AO150" s="14" t="str">
        <f aca="false">IFERROR(INDEX(studies!$L:$L,MATCH($C150,studies!$A:$A,0)),"")</f>
        <v>Y</v>
      </c>
      <c r="AP150" s="14" t="str">
        <f aca="false">IF(AND(M150="REPORTED",V150=""),"출처 누락",IF(AND(M150="NOT_FOUND",AC150=""),"검색범위 누락",IF(F150="ARM",IF(OR(H150="",H150="NA"),"arm 누락","OK"),IF(F150="COMPARISON",IF(OR(I150="",I150="NA"),"비교쌍 누락",IF(OR(G150="",G150="NA"),"analysis_id 누락","OK")),IF(F150="","","OK")))))</f>
        <v>OK</v>
      </c>
      <c r="AQ150" s="13" t="s">
        <v>653</v>
      </c>
    </row>
    <row r="151" customFormat="false" ht="29.85" hidden="false" customHeight="false" outlineLevel="0" collapsed="false">
      <c r="A151" s="28" t="s">
        <v>654</v>
      </c>
      <c r="B151" s="28" t="s">
        <v>443</v>
      </c>
      <c r="C151" s="28" t="s">
        <v>647</v>
      </c>
      <c r="D151" s="28" t="s">
        <v>166</v>
      </c>
      <c r="E151" s="14" t="str">
        <f aca="false">IFERROR(INDEX(field_dictionary!$B:$B,MATCH($D151,field_dictionary!$A:$A,0)),"")</f>
        <v>PK</v>
      </c>
      <c r="F151" s="14" t="str">
        <f aca="false">IFERROR(INDEX(field_dictionary!$C:$C,MATCH($D151,field_dictionary!$A:$A,0)),"")</f>
        <v>COMPARISON</v>
      </c>
      <c r="G151" s="28" t="s">
        <v>648</v>
      </c>
      <c r="H151" s="28" t="s">
        <v>155</v>
      </c>
      <c r="I151" s="28" t="s">
        <v>265</v>
      </c>
      <c r="J151" s="28" t="s">
        <v>233</v>
      </c>
      <c r="K151" s="28" t="s">
        <v>266</v>
      </c>
      <c r="L151" s="28" t="s">
        <v>302</v>
      </c>
      <c r="M151" s="15" t="s">
        <v>62</v>
      </c>
      <c r="N151" s="15" t="s">
        <v>655</v>
      </c>
      <c r="O151" s="25"/>
      <c r="P151" s="25" t="n">
        <v>102.45</v>
      </c>
      <c r="Q151" s="25" t="n">
        <v>112.48</v>
      </c>
      <c r="R151" s="15" t="s">
        <v>160</v>
      </c>
      <c r="S151" s="15"/>
      <c r="T151" s="15"/>
      <c r="U151" s="15"/>
      <c r="V151" s="15" t="s">
        <v>445</v>
      </c>
      <c r="W151" s="15" t="n">
        <v>51</v>
      </c>
      <c r="X151" s="15" t="s">
        <v>650</v>
      </c>
      <c r="Y151" s="15" t="s">
        <v>651</v>
      </c>
      <c r="Z151" s="15" t="s">
        <v>163</v>
      </c>
      <c r="AA151" s="15" t="s">
        <v>652</v>
      </c>
      <c r="AB151" s="15"/>
      <c r="AC151" s="15"/>
      <c r="AD151" s="15" t="s">
        <v>177</v>
      </c>
      <c r="AE151" s="26"/>
      <c r="AF151" s="27"/>
      <c r="AG151" s="27"/>
      <c r="AH151" s="27"/>
      <c r="AI151" s="26"/>
      <c r="AJ151" s="14" t="str">
        <f aca="false">IF(AE151="","",IF(AND(AE151=M151,ABS(N(AF151)-N(O151))&lt;=0.01,ABS(N(AG151)-N(P151))&lt;=0.01,ABS(N(AH151)-N(Q151))&lt;=0.01),"Y","N"))</f>
        <v/>
      </c>
      <c r="AK151" s="15"/>
      <c r="AL151" s="25"/>
      <c r="AM151" s="14" t="str">
        <f aca="false">IF(OR(AL151="",O151=""),"",IF(ABS(N(AL151)-N(O151))&lt;=0.01,"Y","N"))</f>
        <v/>
      </c>
      <c r="AN151" s="15" t="s">
        <v>11</v>
      </c>
      <c r="AO151" s="14" t="str">
        <f aca="false">IFERROR(INDEX(studies!$L:$L,MATCH($C151,studies!$A:$A,0)),"")</f>
        <v>Y</v>
      </c>
      <c r="AP151" s="14" t="str">
        <f aca="false">IF(AND(M151="REPORTED",V151=""),"출처 누락",IF(AND(M151="NOT_FOUND",AC151=""),"검색범위 누락",IF(F151="ARM",IF(OR(H151="",H151="NA"),"arm 누락","OK"),IF(F151="COMPARISON",IF(OR(I151="",I151="NA"),"비교쌍 누락",IF(OR(G151="",G151="NA"),"analysis_id 누락","OK")),IF(F151="","","OK")))))</f>
        <v>OK</v>
      </c>
      <c r="AQ151" s="13" t="s">
        <v>653</v>
      </c>
    </row>
  </sheetData>
  <autoFilter ref="A2:AQ151"/>
  <mergeCells count="4">
    <mergeCell ref="A1:L1"/>
    <mergeCell ref="M1:U1"/>
    <mergeCell ref="V1:AC1"/>
    <mergeCell ref="AD1:AQ1"/>
  </mergeCells>
  <dataValidations count="9">
    <dataValidation allowBlank="true" error="enums 탭의 코드만 입력하세요." errorStyle="stop" errorTitle="허용되지 않는 값" operator="between" showDropDown="false" showErrorMessage="false" showInputMessage="false" sqref="G3:G800" type="list">
      <formula1>enums!$D$3:$D$14</formula1>
      <formula2>0</formula2>
    </dataValidation>
    <dataValidation allowBlank="true" error="enums 탭의 코드만 입력하세요." errorStyle="stop" errorTitle="허용되지 않는 값" operator="between" showDropDown="false" showErrorMessage="false" showInputMessage="false" sqref="H3:H800" type="list">
      <formula1>enums!$G$3:$G$10</formula1>
      <formula2>0</formula2>
    </dataValidation>
    <dataValidation allowBlank="true" error="enums 탭의 코드만 입력하세요." errorStyle="stop" errorTitle="허용되지 않는 값" operator="between" showDropDown="false" showErrorMessage="false" showInputMessage="false" sqref="I3:I800" type="list">
      <formula1>enums!$J$3:$J$10</formula1>
      <formula2>0</formula2>
    </dataValidation>
    <dataValidation allowBlank="true" error="enums 탭의 코드만 입력하세요." errorStyle="stop" errorTitle="허용되지 않는 값" operator="between" showDropDown="false" showErrorMessage="false" showInputMessage="false" sqref="J3:J800" type="list">
      <formula1>enums!$M$3:$M$8</formula1>
      <formula2>0</formula2>
    </dataValidation>
    <dataValidation allowBlank="true" error="enums 탭의 코드만 입력하세요." errorStyle="stop" errorTitle="허용되지 않는 값" operator="between" showDropDown="false" showErrorMessage="false" showInputMessage="false" sqref="L3:L800" type="list">
      <formula1>enums!$P$3:$P$5</formula1>
      <formula2>0</formula2>
    </dataValidation>
    <dataValidation allowBlank="true" error="enums 탭의 코드만 입력하세요." errorStyle="stop" errorTitle="허용되지 않는 값" operator="between" showDropDown="false" showErrorMessage="false" showInputMessage="false" sqref="M3:M800" type="list">
      <formula1>enums!$A$3:$A$7</formula1>
      <formula2>0</formula2>
    </dataValidation>
    <dataValidation allowBlank="true" error="enums 탭의 코드만 입력하세요." errorStyle="stop" errorTitle="허용되지 않는 값" operator="between" showDropDown="false" showErrorMessage="false" showInputMessage="false" sqref="Z3:Z800" type="list">
      <formula1>enums!$S$3:$S$4</formula1>
      <formula2>0</formula2>
    </dataValidation>
    <dataValidation allowBlank="true" error="enums 탭의 코드만 입력하세요." errorStyle="stop" errorTitle="허용되지 않는 값" operator="between" showDropDown="false" showErrorMessage="false" showInputMessage="false" sqref="AE3:AE800" type="list">
      <formula1>enums!$A$3:$A$7</formula1>
      <formula2>0</formula2>
    </dataValidation>
    <dataValidation allowBlank="true" error="enums 탭의 코드만 입력하세요." errorStyle="stop" errorTitle="허용되지 않는 값" operator="between" showDropDown="false" showErrorMessage="false" showInputMessage="false" sqref="AN3:AN800" type="list">
      <formula1>enums!$V$3:$V$7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7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9"/>
    <col collapsed="false" customWidth="true" hidden="false" outlineLevel="0" max="13" min="13" style="0" width="30"/>
    <col collapsed="false" customWidth="true" hidden="false" outlineLevel="0" max="14" min="14" style="0" width="20"/>
    <col collapsed="false" customWidth="true" hidden="false" outlineLevel="0" max="15" min="15" style="0" width="9"/>
    <col collapsed="false" customWidth="true" hidden="false" outlineLevel="0" max="16" min="16" style="0" width="44"/>
  </cols>
  <sheetData>
    <row r="1" customFormat="false" ht="23.85" hidden="false" customHeight="false" outlineLevel="0" collapsed="false">
      <c r="A1" s="17" t="s">
        <v>109</v>
      </c>
      <c r="B1" s="17" t="s">
        <v>108</v>
      </c>
      <c r="C1" s="17" t="s">
        <v>656</v>
      </c>
      <c r="D1" s="17" t="s">
        <v>657</v>
      </c>
      <c r="E1" s="17" t="s">
        <v>658</v>
      </c>
      <c r="F1" s="17" t="s">
        <v>659</v>
      </c>
      <c r="G1" s="17" t="s">
        <v>660</v>
      </c>
      <c r="H1" s="17" t="s">
        <v>661</v>
      </c>
      <c r="I1" s="17" t="s">
        <v>662</v>
      </c>
      <c r="J1" s="17" t="s">
        <v>663</v>
      </c>
      <c r="K1" s="17" t="s">
        <v>664</v>
      </c>
      <c r="L1" s="17" t="s">
        <v>665</v>
      </c>
      <c r="M1" s="17" t="s">
        <v>666</v>
      </c>
      <c r="N1" s="17" t="s">
        <v>667</v>
      </c>
      <c r="O1" s="17" t="s">
        <v>668</v>
      </c>
      <c r="P1" s="17" t="s">
        <v>149</v>
      </c>
    </row>
    <row r="2" customFormat="false" ht="29.85" hidden="false" customHeight="false" outlineLevel="0" collapsed="false">
      <c r="A2" s="15" t="s">
        <v>80</v>
      </c>
      <c r="B2" s="15" t="s">
        <v>169</v>
      </c>
      <c r="C2" s="15" t="s">
        <v>669</v>
      </c>
      <c r="D2" s="15" t="s">
        <v>670</v>
      </c>
      <c r="E2" s="15" t="s">
        <v>671</v>
      </c>
      <c r="F2" s="13" t="s">
        <v>672</v>
      </c>
      <c r="G2" s="13" t="s">
        <v>673</v>
      </c>
      <c r="H2" s="15" t="s">
        <v>674</v>
      </c>
      <c r="I2" s="15" t="s">
        <v>675</v>
      </c>
      <c r="J2" s="15" t="s">
        <v>676</v>
      </c>
      <c r="K2" s="15" t="s">
        <v>677</v>
      </c>
      <c r="L2" s="15" t="s">
        <v>292</v>
      </c>
      <c r="M2" s="15" t="s">
        <v>678</v>
      </c>
      <c r="N2" s="15" t="s">
        <v>679</v>
      </c>
      <c r="O2" s="15" t="s">
        <v>292</v>
      </c>
      <c r="P2" s="13" t="s">
        <v>680</v>
      </c>
    </row>
    <row r="3" customFormat="false" ht="23.85" hidden="false" customHeight="false" outlineLevel="0" collapsed="false">
      <c r="A3" s="15" t="s">
        <v>681</v>
      </c>
      <c r="B3" s="15" t="s">
        <v>169</v>
      </c>
      <c r="C3" s="15" t="s">
        <v>682</v>
      </c>
      <c r="D3" s="15" t="s">
        <v>683</v>
      </c>
      <c r="E3" s="15" t="s">
        <v>684</v>
      </c>
      <c r="F3" s="13" t="s">
        <v>685</v>
      </c>
      <c r="G3" s="13" t="s">
        <v>686</v>
      </c>
      <c r="H3" s="15" t="s">
        <v>687</v>
      </c>
      <c r="I3" s="15" t="s">
        <v>688</v>
      </c>
      <c r="J3" s="15" t="s">
        <v>689</v>
      </c>
      <c r="K3" s="15" t="s">
        <v>690</v>
      </c>
      <c r="L3" s="15" t="s">
        <v>554</v>
      </c>
      <c r="M3" s="13" t="s">
        <v>691</v>
      </c>
      <c r="N3" s="15" t="s">
        <v>692</v>
      </c>
      <c r="O3" s="15" t="s">
        <v>292</v>
      </c>
      <c r="P3" s="15"/>
    </row>
    <row r="4" customFormat="false" ht="26.85" hidden="false" customHeight="false" outlineLevel="0" collapsed="false">
      <c r="A4" s="15" t="s">
        <v>81</v>
      </c>
      <c r="B4" s="15" t="s">
        <v>151</v>
      </c>
      <c r="C4" s="15" t="s">
        <v>693</v>
      </c>
      <c r="D4" s="15" t="s">
        <v>694</v>
      </c>
      <c r="E4" s="15" t="s">
        <v>671</v>
      </c>
      <c r="F4" s="13" t="s">
        <v>695</v>
      </c>
      <c r="G4" s="13" t="s">
        <v>696</v>
      </c>
      <c r="H4" s="15" t="s">
        <v>674</v>
      </c>
      <c r="I4" s="15" t="s">
        <v>675</v>
      </c>
      <c r="J4" s="13" t="s">
        <v>697</v>
      </c>
      <c r="K4" s="15" t="s">
        <v>698</v>
      </c>
      <c r="L4" s="15" t="s">
        <v>292</v>
      </c>
      <c r="M4" s="13" t="s">
        <v>699</v>
      </c>
      <c r="N4" s="15" t="s">
        <v>700</v>
      </c>
      <c r="O4" s="15" t="s">
        <v>292</v>
      </c>
      <c r="P4" s="13" t="s">
        <v>701</v>
      </c>
    </row>
    <row r="5" customFormat="false" ht="29.85" hidden="false" customHeight="false" outlineLevel="0" collapsed="false">
      <c r="A5" s="15" t="s">
        <v>702</v>
      </c>
      <c r="B5" s="15" t="s">
        <v>151</v>
      </c>
      <c r="C5" s="15" t="s">
        <v>703</v>
      </c>
      <c r="D5" s="15" t="s">
        <v>704</v>
      </c>
      <c r="E5" s="15" t="s">
        <v>684</v>
      </c>
      <c r="F5" s="13" t="s">
        <v>685</v>
      </c>
      <c r="G5" s="13" t="s">
        <v>705</v>
      </c>
      <c r="H5" s="15" t="s">
        <v>687</v>
      </c>
      <c r="I5" s="15" t="s">
        <v>688</v>
      </c>
      <c r="J5" s="15" t="s">
        <v>706</v>
      </c>
      <c r="K5" s="15" t="s">
        <v>707</v>
      </c>
      <c r="L5" s="15" t="s">
        <v>554</v>
      </c>
      <c r="M5" s="13" t="s">
        <v>708</v>
      </c>
      <c r="N5" s="15" t="s">
        <v>709</v>
      </c>
      <c r="O5" s="15" t="s">
        <v>292</v>
      </c>
      <c r="P5" s="15"/>
    </row>
    <row r="6" customFormat="false" ht="29.85" hidden="false" customHeight="false" outlineLevel="0" collapsed="false">
      <c r="A6" s="15" t="s">
        <v>152</v>
      </c>
      <c r="B6" s="15" t="s">
        <v>151</v>
      </c>
      <c r="C6" s="15" t="s">
        <v>710</v>
      </c>
      <c r="D6" s="15" t="s">
        <v>711</v>
      </c>
      <c r="E6" s="15" t="s">
        <v>684</v>
      </c>
      <c r="F6" s="13" t="s">
        <v>712</v>
      </c>
      <c r="G6" s="13" t="s">
        <v>713</v>
      </c>
      <c r="H6" s="15" t="s">
        <v>714</v>
      </c>
      <c r="I6" s="15" t="s">
        <v>715</v>
      </c>
      <c r="J6" s="15" t="s">
        <v>716</v>
      </c>
      <c r="K6" s="15" t="s">
        <v>690</v>
      </c>
      <c r="L6" s="15" t="s">
        <v>554</v>
      </c>
      <c r="M6" s="13" t="s">
        <v>717</v>
      </c>
      <c r="N6" s="15" t="s">
        <v>718</v>
      </c>
      <c r="O6" s="15" t="s">
        <v>292</v>
      </c>
      <c r="P6" s="15" t="s">
        <v>719</v>
      </c>
    </row>
    <row r="7" customFormat="false" ht="23.85" hidden="false" customHeight="false" outlineLevel="0" collapsed="false">
      <c r="A7" s="15" t="s">
        <v>720</v>
      </c>
      <c r="B7" s="15" t="s">
        <v>151</v>
      </c>
      <c r="C7" s="30" t="s">
        <v>721</v>
      </c>
      <c r="D7" s="30" t="s">
        <v>721</v>
      </c>
      <c r="E7" s="15" t="s">
        <v>671</v>
      </c>
      <c r="F7" s="13" t="s">
        <v>722</v>
      </c>
      <c r="G7" s="15" t="s">
        <v>723</v>
      </c>
      <c r="H7" s="15" t="s">
        <v>724</v>
      </c>
      <c r="I7" s="15" t="s">
        <v>715</v>
      </c>
      <c r="J7" s="15"/>
      <c r="K7" s="15"/>
      <c r="L7" s="15" t="s">
        <v>554</v>
      </c>
      <c r="M7" s="13" t="s">
        <v>725</v>
      </c>
      <c r="N7" s="15" t="s">
        <v>718</v>
      </c>
      <c r="O7" s="15" t="s">
        <v>554</v>
      </c>
      <c r="P7" s="15" t="s">
        <v>726</v>
      </c>
    </row>
    <row r="8" customFormat="false" ht="29.85" hidden="false" customHeight="false" outlineLevel="0" collapsed="false">
      <c r="A8" s="15" t="s">
        <v>82</v>
      </c>
      <c r="B8" s="15" t="s">
        <v>443</v>
      </c>
      <c r="C8" s="15" t="s">
        <v>727</v>
      </c>
      <c r="D8" s="15" t="s">
        <v>728</v>
      </c>
      <c r="E8" s="15" t="s">
        <v>671</v>
      </c>
      <c r="F8" s="13" t="s">
        <v>729</v>
      </c>
      <c r="G8" s="15" t="s">
        <v>730</v>
      </c>
      <c r="H8" s="15" t="s">
        <v>674</v>
      </c>
      <c r="I8" s="15" t="s">
        <v>675</v>
      </c>
      <c r="J8" s="15" t="s">
        <v>731</v>
      </c>
      <c r="K8" s="15" t="s">
        <v>732</v>
      </c>
      <c r="L8" s="15" t="s">
        <v>292</v>
      </c>
      <c r="M8" s="15" t="s">
        <v>733</v>
      </c>
      <c r="N8" s="15" t="s">
        <v>734</v>
      </c>
      <c r="O8" s="15" t="s">
        <v>292</v>
      </c>
      <c r="P8" s="15" t="s">
        <v>735</v>
      </c>
    </row>
    <row r="9" customFormat="false" ht="29.85" hidden="false" customHeight="false" outlineLevel="0" collapsed="false">
      <c r="A9" s="15" t="s">
        <v>83</v>
      </c>
      <c r="B9" s="15" t="s">
        <v>443</v>
      </c>
      <c r="C9" s="15" t="s">
        <v>736</v>
      </c>
      <c r="D9" s="15" t="s">
        <v>694</v>
      </c>
      <c r="E9" s="15" t="s">
        <v>671</v>
      </c>
      <c r="F9" s="13" t="s">
        <v>737</v>
      </c>
      <c r="G9" s="13" t="s">
        <v>673</v>
      </c>
      <c r="H9" s="15" t="s">
        <v>674</v>
      </c>
      <c r="I9" s="15" t="s">
        <v>738</v>
      </c>
      <c r="J9" s="15" t="s">
        <v>739</v>
      </c>
      <c r="K9" s="15" t="s">
        <v>732</v>
      </c>
      <c r="L9" s="15" t="s">
        <v>292</v>
      </c>
      <c r="M9" s="15" t="s">
        <v>740</v>
      </c>
      <c r="N9" s="15" t="s">
        <v>741</v>
      </c>
      <c r="O9" s="15" t="s">
        <v>292</v>
      </c>
      <c r="P9" s="13" t="s">
        <v>742</v>
      </c>
    </row>
    <row r="10" customFormat="false" ht="29.85" hidden="false" customHeight="false" outlineLevel="0" collapsed="false">
      <c r="A10" s="15" t="s">
        <v>647</v>
      </c>
      <c r="B10" s="15" t="s">
        <v>443</v>
      </c>
      <c r="C10" s="15" t="s">
        <v>743</v>
      </c>
      <c r="D10" s="15" t="s">
        <v>690</v>
      </c>
      <c r="E10" s="15" t="s">
        <v>690</v>
      </c>
      <c r="F10" s="15" t="s">
        <v>690</v>
      </c>
      <c r="G10" s="13" t="s">
        <v>744</v>
      </c>
      <c r="H10" s="15" t="s">
        <v>745</v>
      </c>
      <c r="I10" s="15" t="s">
        <v>746</v>
      </c>
      <c r="J10" s="15"/>
      <c r="K10" s="15"/>
      <c r="L10" s="15" t="s">
        <v>292</v>
      </c>
      <c r="M10" s="15" t="s">
        <v>747</v>
      </c>
      <c r="N10" s="15" t="s">
        <v>748</v>
      </c>
      <c r="O10" s="15" t="s">
        <v>292</v>
      </c>
      <c r="P10" s="15"/>
    </row>
    <row r="11" customFormat="false" ht="26.85" hidden="false" customHeight="false" outlineLevel="0" collapsed="false">
      <c r="A11" s="15" t="s">
        <v>749</v>
      </c>
      <c r="B11" s="15" t="s">
        <v>443</v>
      </c>
      <c r="C11" s="15" t="s">
        <v>750</v>
      </c>
      <c r="D11" s="15" t="s">
        <v>751</v>
      </c>
      <c r="E11" s="15" t="s">
        <v>684</v>
      </c>
      <c r="F11" s="13" t="s">
        <v>685</v>
      </c>
      <c r="G11" s="13" t="s">
        <v>752</v>
      </c>
      <c r="H11" s="15" t="s">
        <v>687</v>
      </c>
      <c r="I11" s="15" t="s">
        <v>688</v>
      </c>
      <c r="J11" s="15" t="s">
        <v>753</v>
      </c>
      <c r="K11" s="15" t="s">
        <v>707</v>
      </c>
      <c r="L11" s="15" t="s">
        <v>554</v>
      </c>
      <c r="M11" s="13" t="s">
        <v>708</v>
      </c>
      <c r="N11" s="15" t="s">
        <v>754</v>
      </c>
      <c r="O11" s="15" t="s">
        <v>292</v>
      </c>
      <c r="P11" s="15"/>
    </row>
    <row r="12" customFormat="false" ht="23.85" hidden="false" customHeight="false" outlineLevel="0" collapsed="false">
      <c r="A12" s="15" t="s">
        <v>755</v>
      </c>
      <c r="B12" s="15" t="s">
        <v>443</v>
      </c>
      <c r="C12" s="30" t="s">
        <v>721</v>
      </c>
      <c r="D12" s="15" t="s">
        <v>756</v>
      </c>
      <c r="E12" s="15" t="s">
        <v>671</v>
      </c>
      <c r="F12" s="13" t="s">
        <v>729</v>
      </c>
      <c r="G12" s="13" t="s">
        <v>757</v>
      </c>
      <c r="H12" s="15" t="s">
        <v>724</v>
      </c>
      <c r="I12" s="15" t="s">
        <v>715</v>
      </c>
      <c r="J12" s="15"/>
      <c r="K12" s="15"/>
      <c r="L12" s="15" t="s">
        <v>554</v>
      </c>
      <c r="M12" s="13" t="s">
        <v>758</v>
      </c>
      <c r="N12" s="15" t="s">
        <v>718</v>
      </c>
      <c r="O12" s="15" t="s">
        <v>554</v>
      </c>
      <c r="P12" s="15"/>
    </row>
  </sheetData>
  <dataValidations count="4">
    <dataValidation allowBlank="true" error="enums 탭의 코드만 입력하세요." errorStyle="stop" errorTitle="허용되지 않는 값" operator="between" showDropDown="false" showErrorMessage="false" showInputMessage="false" sqref="H2:H200" type="list">
      <formula1>enums!$Y$3:$Y$7</formula1>
      <formula2>0</formula2>
    </dataValidation>
    <dataValidation allowBlank="true" error="enums 탭의 코드만 입력하세요." errorStyle="stop" errorTitle="허용되지 않는 값" operator="between" showDropDown="false" showErrorMessage="false" showInputMessage="false" sqref="I2:I200" type="list">
      <formula1>enums!$AB$3:$AB$7</formula1>
      <formula2>0</formula2>
    </dataValidation>
    <dataValidation allowBlank="true" error="enums 탭의 코드만 입력하세요." errorStyle="stop" errorTitle="허용되지 않는 값" operator="between" showDropDown="false" showErrorMessage="false" showInputMessage="false" sqref="L2:L200" type="list">
      <formula1>enums!$AN$3:$AN$4</formula1>
      <formula2>0</formula2>
    </dataValidation>
    <dataValidation allowBlank="true" error="enums 탭의 코드만 입력하세요." errorStyle="stop" errorTitle="허용되지 않는 값" operator="between" showDropDown="false" showErrorMessage="false" showInputMessage="false" sqref="O2:O200" type="list">
      <formula1>enums!$AN$3:$AN$4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6"/>
    <col collapsed="false" customWidth="true" hidden="false" outlineLevel="0" max="4" min="4" style="0" width="5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7" t="s">
        <v>759</v>
      </c>
      <c r="B1" s="12" t="s">
        <v>760</v>
      </c>
      <c r="C1" s="17" t="s">
        <v>761</v>
      </c>
      <c r="D1" s="17" t="s">
        <v>762</v>
      </c>
      <c r="E1" s="12" t="s">
        <v>763</v>
      </c>
    </row>
    <row r="2" customFormat="false" ht="44" hidden="false" customHeight="false" outlineLevel="0" collapsed="false">
      <c r="A2" s="15" t="s">
        <v>764</v>
      </c>
      <c r="B2" s="15" t="s">
        <v>765</v>
      </c>
      <c r="C2" s="13" t="s">
        <v>766</v>
      </c>
      <c r="D2" s="15" t="s">
        <v>767</v>
      </c>
      <c r="E2" s="15" t="s">
        <v>768</v>
      </c>
    </row>
    <row r="3" customFormat="false" ht="35.05" hidden="false" customHeight="false" outlineLevel="0" collapsed="false">
      <c r="A3" s="15" t="s">
        <v>769</v>
      </c>
      <c r="B3" s="15" t="s">
        <v>770</v>
      </c>
      <c r="C3" s="13" t="s">
        <v>771</v>
      </c>
      <c r="D3" s="15" t="s">
        <v>772</v>
      </c>
      <c r="E3" s="15" t="s">
        <v>115</v>
      </c>
    </row>
    <row r="4" customFormat="false" ht="29.85" hidden="false" customHeight="false" outlineLevel="0" collapsed="false">
      <c r="A4" s="15" t="s">
        <v>773</v>
      </c>
      <c r="B4" s="15" t="s">
        <v>774</v>
      </c>
      <c r="C4" s="15" t="s">
        <v>775</v>
      </c>
      <c r="D4" s="15" t="s">
        <v>776</v>
      </c>
      <c r="E4" s="15" t="s">
        <v>777</v>
      </c>
    </row>
    <row r="5" customFormat="false" ht="29.85" hidden="false" customHeight="false" outlineLevel="0" collapsed="false">
      <c r="A5" s="15" t="s">
        <v>778</v>
      </c>
      <c r="B5" s="15" t="s">
        <v>779</v>
      </c>
      <c r="C5" s="15" t="s">
        <v>780</v>
      </c>
      <c r="D5" s="15" t="s">
        <v>781</v>
      </c>
      <c r="E5" s="15" t="s">
        <v>782</v>
      </c>
    </row>
    <row r="6" customFormat="false" ht="29.85" hidden="false" customHeight="false" outlineLevel="0" collapsed="false">
      <c r="A6" s="15" t="s">
        <v>783</v>
      </c>
      <c r="B6" s="15" t="s">
        <v>784</v>
      </c>
      <c r="C6" s="13" t="s">
        <v>785</v>
      </c>
      <c r="D6" s="15" t="s">
        <v>786</v>
      </c>
      <c r="E6" s="15" t="s">
        <v>787</v>
      </c>
    </row>
    <row r="7" customFormat="false" ht="29.85" hidden="false" customHeight="false" outlineLevel="0" collapsed="false">
      <c r="A7" s="15" t="s">
        <v>788</v>
      </c>
      <c r="B7" s="15" t="s">
        <v>789</v>
      </c>
      <c r="C7" s="13" t="s">
        <v>790</v>
      </c>
      <c r="D7" s="15" t="s">
        <v>791</v>
      </c>
      <c r="E7" s="15" t="s">
        <v>792</v>
      </c>
    </row>
    <row r="8" customFormat="false" ht="35.05" hidden="false" customHeight="false" outlineLevel="0" collapsed="false">
      <c r="A8" s="15" t="s">
        <v>793</v>
      </c>
      <c r="B8" s="15" t="s">
        <v>794</v>
      </c>
      <c r="C8" s="15" t="s">
        <v>795</v>
      </c>
      <c r="D8" s="15" t="s">
        <v>796</v>
      </c>
      <c r="E8" s="15" t="s">
        <v>797</v>
      </c>
    </row>
    <row r="9" customFormat="false" ht="29.85" hidden="false" customHeight="false" outlineLevel="0" collapsed="false">
      <c r="A9" s="15" t="s">
        <v>798</v>
      </c>
      <c r="B9" s="15" t="s">
        <v>799</v>
      </c>
      <c r="C9" s="15" t="s">
        <v>800</v>
      </c>
      <c r="D9" s="13" t="s">
        <v>801</v>
      </c>
      <c r="E9" s="15" t="s">
        <v>255</v>
      </c>
    </row>
    <row r="10" customFormat="false" ht="29.85" hidden="false" customHeight="false" outlineLevel="0" collapsed="false">
      <c r="A10" s="15" t="s">
        <v>802</v>
      </c>
      <c r="B10" s="15" t="s">
        <v>803</v>
      </c>
      <c r="C10" s="13" t="s">
        <v>804</v>
      </c>
      <c r="D10" s="15" t="s">
        <v>805</v>
      </c>
      <c r="E10" s="15" t="s">
        <v>22</v>
      </c>
    </row>
    <row r="11" customFormat="false" ht="15" hidden="false" customHeight="false" outlineLevel="0" collapsed="false">
      <c r="A11" s="15" t="s">
        <v>806</v>
      </c>
      <c r="B11" s="15" t="s">
        <v>807</v>
      </c>
      <c r="C11" s="13" t="s">
        <v>808</v>
      </c>
      <c r="D11" s="13" t="s">
        <v>809</v>
      </c>
      <c r="E11" s="15" t="s">
        <v>219</v>
      </c>
    </row>
    <row r="12" customFormat="false" ht="29.85" hidden="false" customHeight="false" outlineLevel="0" collapsed="false">
      <c r="A12" s="15" t="s">
        <v>810</v>
      </c>
      <c r="B12" s="15" t="s">
        <v>811</v>
      </c>
      <c r="C12" s="15" t="s">
        <v>812</v>
      </c>
      <c r="D12" s="15" t="s">
        <v>813</v>
      </c>
      <c r="E12" s="15" t="s">
        <v>291</v>
      </c>
    </row>
    <row r="13" customFormat="false" ht="23.85" hidden="false" customHeight="false" outlineLevel="0" collapsed="false">
      <c r="A13" s="15" t="s">
        <v>814</v>
      </c>
      <c r="B13" s="15" t="s">
        <v>815</v>
      </c>
      <c r="C13" s="13" t="s">
        <v>816</v>
      </c>
      <c r="D13" s="15" t="s">
        <v>817</v>
      </c>
      <c r="E13" s="15" t="s">
        <v>189</v>
      </c>
    </row>
    <row r="14" customFormat="false" ht="15" hidden="false" customHeight="false" outlineLevel="0" collapsed="false">
      <c r="A14" s="15" t="s">
        <v>818</v>
      </c>
      <c r="B14" s="15" t="s">
        <v>819</v>
      </c>
      <c r="C14" s="13" t="s">
        <v>820</v>
      </c>
      <c r="D14" s="15" t="s">
        <v>821</v>
      </c>
      <c r="E14" s="15" t="s">
        <v>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58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17" t="s">
        <v>110</v>
      </c>
      <c r="B1" s="17" t="s">
        <v>111</v>
      </c>
      <c r="C1" s="17" t="s">
        <v>112</v>
      </c>
      <c r="D1" s="17" t="s">
        <v>822</v>
      </c>
      <c r="E1" s="17" t="s">
        <v>823</v>
      </c>
      <c r="F1" s="17" t="s">
        <v>824</v>
      </c>
      <c r="G1" s="17" t="s">
        <v>825</v>
      </c>
      <c r="H1" s="17" t="s">
        <v>826</v>
      </c>
      <c r="I1" s="17" t="s">
        <v>827</v>
      </c>
      <c r="J1" s="17" t="s">
        <v>762</v>
      </c>
    </row>
    <row r="2" customFormat="false" ht="15" hidden="false" customHeight="false" outlineLevel="0" collapsed="false">
      <c r="A2" s="15" t="s">
        <v>170</v>
      </c>
      <c r="B2" s="15" t="s">
        <v>85</v>
      </c>
      <c r="C2" s="15" t="s">
        <v>828</v>
      </c>
      <c r="D2" s="13" t="s">
        <v>829</v>
      </c>
      <c r="E2" s="13" t="s">
        <v>830</v>
      </c>
      <c r="F2" s="15" t="s">
        <v>831</v>
      </c>
      <c r="G2" s="15" t="s">
        <v>690</v>
      </c>
      <c r="H2" s="15" t="s">
        <v>109</v>
      </c>
      <c r="I2" s="13" t="s">
        <v>832</v>
      </c>
      <c r="J2" s="15"/>
    </row>
    <row r="3" customFormat="false" ht="15" hidden="false" customHeight="false" outlineLevel="0" collapsed="false">
      <c r="A3" s="15" t="s">
        <v>179</v>
      </c>
      <c r="B3" s="15" t="s">
        <v>85</v>
      </c>
      <c r="C3" s="15" t="s">
        <v>828</v>
      </c>
      <c r="D3" s="13" t="s">
        <v>833</v>
      </c>
      <c r="E3" s="13" t="s">
        <v>834</v>
      </c>
      <c r="F3" s="15" t="s">
        <v>163</v>
      </c>
      <c r="G3" s="15" t="s">
        <v>690</v>
      </c>
      <c r="H3" s="15" t="s">
        <v>109</v>
      </c>
      <c r="I3" s="13" t="s">
        <v>835</v>
      </c>
      <c r="J3" s="15" t="s">
        <v>836</v>
      </c>
    </row>
    <row r="4" customFormat="false" ht="15" hidden="false" customHeight="false" outlineLevel="0" collapsed="false">
      <c r="A4" s="15" t="s">
        <v>185</v>
      </c>
      <c r="B4" s="15" t="s">
        <v>85</v>
      </c>
      <c r="C4" s="15" t="s">
        <v>828</v>
      </c>
      <c r="D4" s="13" t="s">
        <v>837</v>
      </c>
      <c r="E4" s="13" t="s">
        <v>838</v>
      </c>
      <c r="F4" s="15" t="s">
        <v>163</v>
      </c>
      <c r="G4" s="15" t="s">
        <v>690</v>
      </c>
      <c r="H4" s="15" t="s">
        <v>109</v>
      </c>
      <c r="I4" s="13" t="s">
        <v>839</v>
      </c>
      <c r="J4" s="15"/>
    </row>
    <row r="5" customFormat="false" ht="29.85" hidden="false" customHeight="false" outlineLevel="0" collapsed="false">
      <c r="A5" s="15" t="s">
        <v>189</v>
      </c>
      <c r="B5" s="15" t="s">
        <v>85</v>
      </c>
      <c r="C5" s="15" t="s">
        <v>828</v>
      </c>
      <c r="D5" s="13" t="s">
        <v>840</v>
      </c>
      <c r="E5" s="15" t="s">
        <v>841</v>
      </c>
      <c r="F5" s="15" t="s">
        <v>842</v>
      </c>
      <c r="G5" s="13" t="s">
        <v>843</v>
      </c>
      <c r="H5" s="15" t="s">
        <v>109</v>
      </c>
      <c r="I5" s="13" t="s">
        <v>844</v>
      </c>
      <c r="J5" s="13" t="s">
        <v>845</v>
      </c>
    </row>
    <row r="6" customFormat="false" ht="15" hidden="false" customHeight="false" outlineLevel="0" collapsed="false">
      <c r="A6" s="15" t="s">
        <v>196</v>
      </c>
      <c r="B6" s="15" t="s">
        <v>85</v>
      </c>
      <c r="C6" s="15" t="s">
        <v>828</v>
      </c>
      <c r="D6" s="13" t="s">
        <v>846</v>
      </c>
      <c r="E6" s="15" t="s">
        <v>847</v>
      </c>
      <c r="F6" s="15" t="s">
        <v>163</v>
      </c>
      <c r="G6" s="15" t="s">
        <v>690</v>
      </c>
      <c r="H6" s="15" t="s">
        <v>109</v>
      </c>
      <c r="I6" s="15" t="s">
        <v>848</v>
      </c>
      <c r="J6" s="15"/>
    </row>
    <row r="7" customFormat="false" ht="15" hidden="false" customHeight="false" outlineLevel="0" collapsed="false">
      <c r="A7" s="15" t="s">
        <v>200</v>
      </c>
      <c r="B7" s="15" t="s">
        <v>85</v>
      </c>
      <c r="C7" s="15" t="s">
        <v>828</v>
      </c>
      <c r="D7" s="15" t="s">
        <v>849</v>
      </c>
      <c r="E7" s="13" t="s">
        <v>850</v>
      </c>
      <c r="F7" s="15" t="s">
        <v>163</v>
      </c>
      <c r="G7" s="15" t="s">
        <v>690</v>
      </c>
      <c r="H7" s="15" t="s">
        <v>109</v>
      </c>
      <c r="I7" s="13" t="s">
        <v>851</v>
      </c>
      <c r="J7" s="15"/>
    </row>
    <row r="8" customFormat="false" ht="15" hidden="false" customHeight="false" outlineLevel="0" collapsed="false">
      <c r="A8" s="15" t="s">
        <v>205</v>
      </c>
      <c r="B8" s="15" t="s">
        <v>85</v>
      </c>
      <c r="C8" s="15" t="s">
        <v>828</v>
      </c>
      <c r="D8" s="13" t="s">
        <v>852</v>
      </c>
      <c r="E8" s="15" t="s">
        <v>853</v>
      </c>
      <c r="F8" s="15" t="s">
        <v>163</v>
      </c>
      <c r="G8" s="13" t="s">
        <v>854</v>
      </c>
      <c r="H8" s="15" t="s">
        <v>109</v>
      </c>
      <c r="I8" s="13" t="s">
        <v>855</v>
      </c>
      <c r="J8" s="15"/>
    </row>
    <row r="9" customFormat="false" ht="15" hidden="false" customHeight="false" outlineLevel="0" collapsed="false">
      <c r="A9" s="15" t="s">
        <v>212</v>
      </c>
      <c r="B9" s="15" t="s">
        <v>87</v>
      </c>
      <c r="C9" s="15" t="s">
        <v>828</v>
      </c>
      <c r="D9" s="15" t="s">
        <v>856</v>
      </c>
      <c r="E9" s="13" t="s">
        <v>857</v>
      </c>
      <c r="F9" s="15" t="s">
        <v>163</v>
      </c>
      <c r="G9" s="15" t="s">
        <v>690</v>
      </c>
      <c r="H9" s="15" t="s">
        <v>109</v>
      </c>
      <c r="I9" s="15" t="s">
        <v>858</v>
      </c>
      <c r="J9" s="15"/>
    </row>
    <row r="10" customFormat="false" ht="29.85" hidden="false" customHeight="false" outlineLevel="0" collapsed="false">
      <c r="A10" s="15" t="s">
        <v>219</v>
      </c>
      <c r="B10" s="15" t="s">
        <v>85</v>
      </c>
      <c r="C10" s="15" t="s">
        <v>859</v>
      </c>
      <c r="D10" s="13" t="s">
        <v>860</v>
      </c>
      <c r="E10" s="13" t="s">
        <v>861</v>
      </c>
      <c r="F10" s="15" t="s">
        <v>862</v>
      </c>
      <c r="G10" s="13" t="s">
        <v>223</v>
      </c>
      <c r="H10" s="15" t="s">
        <v>863</v>
      </c>
      <c r="I10" s="13" t="s">
        <v>864</v>
      </c>
      <c r="J10" s="15" t="s">
        <v>865</v>
      </c>
    </row>
    <row r="11" customFormat="false" ht="15" hidden="false" customHeight="false" outlineLevel="0" collapsed="false">
      <c r="A11" s="15" t="s">
        <v>232</v>
      </c>
      <c r="B11" s="15" t="s">
        <v>85</v>
      </c>
      <c r="C11" s="15" t="s">
        <v>859</v>
      </c>
      <c r="D11" s="15" t="s">
        <v>866</v>
      </c>
      <c r="E11" s="15" t="s">
        <v>867</v>
      </c>
      <c r="F11" s="15" t="s">
        <v>862</v>
      </c>
      <c r="G11" s="13" t="s">
        <v>223</v>
      </c>
      <c r="H11" s="15" t="s">
        <v>868</v>
      </c>
      <c r="I11" s="13" t="s">
        <v>869</v>
      </c>
      <c r="J11" s="15" t="s">
        <v>870</v>
      </c>
    </row>
    <row r="12" customFormat="false" ht="29.85" hidden="false" customHeight="false" outlineLevel="0" collapsed="false">
      <c r="A12" s="15" t="s">
        <v>264</v>
      </c>
      <c r="B12" s="15" t="s">
        <v>86</v>
      </c>
      <c r="C12" s="15" t="s">
        <v>871</v>
      </c>
      <c r="D12" s="15" t="s">
        <v>872</v>
      </c>
      <c r="E12" s="13" t="s">
        <v>873</v>
      </c>
      <c r="F12" s="15" t="s">
        <v>874</v>
      </c>
      <c r="G12" s="15" t="s">
        <v>875</v>
      </c>
      <c r="H12" s="15" t="s">
        <v>876</v>
      </c>
      <c r="I12" s="15" t="s">
        <v>877</v>
      </c>
      <c r="J12" s="15" t="s">
        <v>878</v>
      </c>
    </row>
    <row r="13" customFormat="false" ht="23.85" hidden="false" customHeight="false" outlineLevel="0" collapsed="false">
      <c r="A13" s="15" t="s">
        <v>286</v>
      </c>
      <c r="B13" s="15" t="s">
        <v>86</v>
      </c>
      <c r="C13" s="15" t="s">
        <v>871</v>
      </c>
      <c r="D13" s="15" t="s">
        <v>879</v>
      </c>
      <c r="E13" s="13" t="s">
        <v>880</v>
      </c>
      <c r="F13" s="15" t="s">
        <v>874</v>
      </c>
      <c r="G13" s="15" t="s">
        <v>160</v>
      </c>
      <c r="H13" s="15" t="s">
        <v>876</v>
      </c>
      <c r="I13" s="13" t="s">
        <v>881</v>
      </c>
      <c r="J13" s="15"/>
    </row>
    <row r="14" customFormat="false" ht="23.85" hidden="false" customHeight="false" outlineLevel="0" collapsed="false">
      <c r="A14" s="15" t="s">
        <v>153</v>
      </c>
      <c r="B14" s="15" t="s">
        <v>86</v>
      </c>
      <c r="C14" s="15" t="s">
        <v>871</v>
      </c>
      <c r="D14" s="15" t="s">
        <v>882</v>
      </c>
      <c r="E14" s="13" t="s">
        <v>883</v>
      </c>
      <c r="F14" s="15" t="s">
        <v>874</v>
      </c>
      <c r="G14" s="15" t="s">
        <v>160</v>
      </c>
      <c r="H14" s="15" t="s">
        <v>884</v>
      </c>
      <c r="I14" s="13" t="s">
        <v>885</v>
      </c>
      <c r="J14" s="15"/>
    </row>
    <row r="15" customFormat="false" ht="23.85" hidden="false" customHeight="false" outlineLevel="0" collapsed="false">
      <c r="A15" s="15" t="s">
        <v>166</v>
      </c>
      <c r="B15" s="15" t="s">
        <v>86</v>
      </c>
      <c r="C15" s="15" t="s">
        <v>871</v>
      </c>
      <c r="D15" s="15" t="s">
        <v>886</v>
      </c>
      <c r="E15" s="13" t="s">
        <v>880</v>
      </c>
      <c r="F15" s="15" t="s">
        <v>874</v>
      </c>
      <c r="G15" s="15" t="s">
        <v>160</v>
      </c>
      <c r="H15" s="15" t="s">
        <v>876</v>
      </c>
      <c r="I15" s="15" t="s">
        <v>887</v>
      </c>
      <c r="J15" s="15"/>
    </row>
    <row r="16" customFormat="false" ht="29.85" hidden="false" customHeight="false" outlineLevel="0" collapsed="false">
      <c r="A16" s="15" t="s">
        <v>291</v>
      </c>
      <c r="B16" s="15" t="s">
        <v>86</v>
      </c>
      <c r="C16" s="15" t="s">
        <v>871</v>
      </c>
      <c r="D16" s="13" t="s">
        <v>888</v>
      </c>
      <c r="E16" s="13" t="s">
        <v>889</v>
      </c>
      <c r="F16" s="15" t="s">
        <v>890</v>
      </c>
      <c r="G16" s="15" t="s">
        <v>690</v>
      </c>
      <c r="H16" s="15" t="s">
        <v>891</v>
      </c>
      <c r="I16" s="13" t="s">
        <v>892</v>
      </c>
      <c r="J16" s="13" t="s">
        <v>893</v>
      </c>
    </row>
    <row r="17" customFormat="false" ht="58.2" hidden="false" customHeight="false" outlineLevel="0" collapsed="false">
      <c r="A17" s="15" t="s">
        <v>240</v>
      </c>
      <c r="B17" s="15" t="s">
        <v>87</v>
      </c>
      <c r="C17" s="15" t="s">
        <v>859</v>
      </c>
      <c r="D17" s="15" t="s">
        <v>894</v>
      </c>
      <c r="E17" s="13" t="s">
        <v>895</v>
      </c>
      <c r="F17" s="15" t="s">
        <v>896</v>
      </c>
      <c r="G17" s="15" t="s">
        <v>875</v>
      </c>
      <c r="H17" s="15" t="s">
        <v>897</v>
      </c>
      <c r="I17" s="15" t="s">
        <v>898</v>
      </c>
      <c r="J17" s="13" t="s">
        <v>899</v>
      </c>
    </row>
    <row r="18" customFormat="false" ht="29.85" hidden="false" customHeight="false" outlineLevel="0" collapsed="false">
      <c r="A18" s="15" t="s">
        <v>255</v>
      </c>
      <c r="B18" s="15" t="s">
        <v>87</v>
      </c>
      <c r="C18" s="15" t="s">
        <v>859</v>
      </c>
      <c r="D18" s="13" t="s">
        <v>900</v>
      </c>
      <c r="E18" s="13" t="s">
        <v>901</v>
      </c>
      <c r="F18" s="15" t="s">
        <v>896</v>
      </c>
      <c r="G18" s="15" t="s">
        <v>160</v>
      </c>
      <c r="H18" s="15" t="s">
        <v>897</v>
      </c>
      <c r="I18" s="13" t="s">
        <v>902</v>
      </c>
      <c r="J18" s="15" t="s">
        <v>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7" min="7" style="0" width="16"/>
    <col collapsed="false" customWidth="true" hidden="false" outlineLevel="0" max="9" min="8" style="0" width="18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52"/>
  </cols>
  <sheetData>
    <row r="1" customFormat="false" ht="23.85" hidden="false" customHeight="false" outlineLevel="0" collapsed="false">
      <c r="A1" s="17" t="s">
        <v>108</v>
      </c>
      <c r="B1" s="17" t="s">
        <v>904</v>
      </c>
      <c r="C1" s="17" t="s">
        <v>905</v>
      </c>
      <c r="D1" s="17" t="s">
        <v>906</v>
      </c>
      <c r="E1" s="17" t="s">
        <v>907</v>
      </c>
      <c r="F1" s="17" t="s">
        <v>908</v>
      </c>
      <c r="G1" s="17" t="s">
        <v>909</v>
      </c>
      <c r="H1" s="17" t="s">
        <v>910</v>
      </c>
      <c r="I1" s="17" t="s">
        <v>911</v>
      </c>
      <c r="J1" s="17" t="s">
        <v>146</v>
      </c>
      <c r="K1" s="17" t="s">
        <v>668</v>
      </c>
      <c r="L1" s="17" t="s">
        <v>149</v>
      </c>
    </row>
    <row r="2" customFormat="false" ht="29.85" hidden="false" customHeight="false" outlineLevel="0" collapsed="false">
      <c r="A2" s="15" t="s">
        <v>169</v>
      </c>
      <c r="B2" s="15" t="s">
        <v>220</v>
      </c>
      <c r="C2" s="15" t="s">
        <v>912</v>
      </c>
      <c r="D2" s="15" t="s">
        <v>913</v>
      </c>
      <c r="E2" s="15" t="s">
        <v>914</v>
      </c>
      <c r="F2" s="15" t="s">
        <v>914</v>
      </c>
      <c r="G2" s="15" t="s">
        <v>915</v>
      </c>
      <c r="H2" s="15" t="s">
        <v>916</v>
      </c>
      <c r="I2" s="15" t="s">
        <v>917</v>
      </c>
      <c r="J2" s="15" t="s">
        <v>918</v>
      </c>
      <c r="K2" s="15" t="s">
        <v>292</v>
      </c>
      <c r="L2" s="15" t="s">
        <v>919</v>
      </c>
    </row>
    <row r="3" customFormat="false" ht="15" hidden="false" customHeight="false" outlineLevel="0" collapsed="false">
      <c r="A3" s="15" t="s">
        <v>151</v>
      </c>
      <c r="B3" s="15" t="s">
        <v>220</v>
      </c>
      <c r="C3" s="15" t="s">
        <v>920</v>
      </c>
      <c r="D3" s="15" t="s">
        <v>913</v>
      </c>
      <c r="E3" s="15" t="s">
        <v>921</v>
      </c>
      <c r="F3" s="15" t="s">
        <v>922</v>
      </c>
      <c r="G3" s="15" t="s">
        <v>923</v>
      </c>
      <c r="H3" s="15" t="s">
        <v>924</v>
      </c>
      <c r="I3" s="15" t="s">
        <v>925</v>
      </c>
      <c r="J3" s="15" t="s">
        <v>918</v>
      </c>
      <c r="K3" s="15" t="s">
        <v>292</v>
      </c>
      <c r="L3" s="13" t="s">
        <v>926</v>
      </c>
    </row>
    <row r="4" customFormat="false" ht="15" hidden="false" customHeight="false" outlineLevel="0" collapsed="false">
      <c r="A4" s="15" t="s">
        <v>443</v>
      </c>
      <c r="B4" s="15" t="s">
        <v>220</v>
      </c>
      <c r="C4" s="15" t="s">
        <v>927</v>
      </c>
      <c r="D4" s="15" t="s">
        <v>913</v>
      </c>
      <c r="E4" s="15" t="s">
        <v>928</v>
      </c>
      <c r="F4" s="15" t="s">
        <v>928</v>
      </c>
      <c r="G4" s="15" t="s">
        <v>929</v>
      </c>
      <c r="H4" s="15" t="s">
        <v>930</v>
      </c>
      <c r="I4" s="15" t="s">
        <v>931</v>
      </c>
      <c r="J4" s="15" t="s">
        <v>918</v>
      </c>
      <c r="K4" s="15" t="s">
        <v>292</v>
      </c>
      <c r="L4" s="15"/>
    </row>
    <row r="5" customFormat="false" ht="23.85" hidden="false" customHeight="false" outlineLevel="0" collapsed="false">
      <c r="A5" s="15" t="s">
        <v>932</v>
      </c>
      <c r="B5" s="15" t="s">
        <v>933</v>
      </c>
      <c r="C5" s="15" t="s">
        <v>690</v>
      </c>
      <c r="D5" s="15" t="s">
        <v>913</v>
      </c>
      <c r="E5" s="15" t="s">
        <v>934</v>
      </c>
      <c r="F5" s="15" t="s">
        <v>934</v>
      </c>
      <c r="G5" s="15" t="s">
        <v>935</v>
      </c>
      <c r="H5" s="15"/>
      <c r="I5" s="15"/>
      <c r="J5" s="15" t="s">
        <v>918</v>
      </c>
      <c r="K5" s="15" t="s">
        <v>554</v>
      </c>
      <c r="L5" s="13" t="s">
        <v>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7" min="7" style="0" width="22"/>
    <col collapsed="false" customWidth="true" hidden="false" outlineLevel="0" max="8" min="8" style="0" width="9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44"/>
  </cols>
  <sheetData>
    <row r="1" customFormat="false" ht="23.85" hidden="false" customHeight="false" outlineLevel="0" collapsed="false">
      <c r="A1" s="17" t="s">
        <v>128</v>
      </c>
      <c r="B1" s="17" t="s">
        <v>937</v>
      </c>
      <c r="C1" s="17" t="s">
        <v>108</v>
      </c>
      <c r="D1" s="17" t="s">
        <v>938</v>
      </c>
      <c r="E1" s="17" t="s">
        <v>939</v>
      </c>
      <c r="F1" s="17" t="s">
        <v>940</v>
      </c>
      <c r="G1" s="17" t="s">
        <v>941</v>
      </c>
      <c r="H1" s="17" t="s">
        <v>942</v>
      </c>
      <c r="I1" s="17" t="s">
        <v>943</v>
      </c>
      <c r="J1" s="17" t="s">
        <v>904</v>
      </c>
      <c r="K1" s="17" t="s">
        <v>149</v>
      </c>
    </row>
    <row r="2" customFormat="false" ht="35.05" hidden="false" customHeight="false" outlineLevel="0" collapsed="false">
      <c r="A2" s="15" t="s">
        <v>173</v>
      </c>
      <c r="B2" s="15" t="s">
        <v>944</v>
      </c>
      <c r="C2" s="15" t="s">
        <v>169</v>
      </c>
      <c r="D2" s="15" t="s">
        <v>945</v>
      </c>
      <c r="E2" s="15" t="s">
        <v>946</v>
      </c>
      <c r="F2" s="15" t="s">
        <v>947</v>
      </c>
      <c r="G2" s="15" t="s">
        <v>948</v>
      </c>
      <c r="H2" s="15" t="n">
        <v>168</v>
      </c>
      <c r="I2" s="15" t="s">
        <v>949</v>
      </c>
      <c r="J2" s="15" t="s">
        <v>154</v>
      </c>
      <c r="K2" s="13" t="s">
        <v>950</v>
      </c>
    </row>
    <row r="3" customFormat="false" ht="35.05" hidden="false" customHeight="false" outlineLevel="0" collapsed="false">
      <c r="A3" s="15" t="s">
        <v>336</v>
      </c>
      <c r="B3" s="15" t="s">
        <v>951</v>
      </c>
      <c r="C3" s="15" t="s">
        <v>151</v>
      </c>
      <c r="D3" s="15" t="s">
        <v>945</v>
      </c>
      <c r="E3" s="15" t="s">
        <v>952</v>
      </c>
      <c r="F3" s="15" t="s">
        <v>953</v>
      </c>
      <c r="G3" s="15" t="s">
        <v>954</v>
      </c>
      <c r="H3" s="15" t="n">
        <v>117</v>
      </c>
      <c r="I3" s="15" t="s">
        <v>949</v>
      </c>
      <c r="J3" s="15" t="s">
        <v>154</v>
      </c>
      <c r="K3" s="13" t="s">
        <v>955</v>
      </c>
    </row>
    <row r="4" customFormat="false" ht="35.05" hidden="false" customHeight="false" outlineLevel="0" collapsed="false">
      <c r="A4" s="15" t="s">
        <v>445</v>
      </c>
      <c r="B4" s="15" t="s">
        <v>956</v>
      </c>
      <c r="C4" s="15" t="s">
        <v>443</v>
      </c>
      <c r="D4" s="15" t="s">
        <v>945</v>
      </c>
      <c r="E4" s="15" t="s">
        <v>957</v>
      </c>
      <c r="F4" s="15" t="s">
        <v>958</v>
      </c>
      <c r="G4" s="15" t="s">
        <v>959</v>
      </c>
      <c r="H4" s="15" t="n">
        <v>133</v>
      </c>
      <c r="I4" s="15" t="s">
        <v>949</v>
      </c>
      <c r="J4" s="15" t="s">
        <v>154</v>
      </c>
      <c r="K4" s="15"/>
    </row>
    <row r="5" customFormat="false" ht="29.85" hidden="false" customHeight="false" outlineLevel="0" collapsed="false">
      <c r="A5" s="15" t="s">
        <v>272</v>
      </c>
      <c r="B5" s="15" t="s">
        <v>690</v>
      </c>
      <c r="C5" s="15"/>
      <c r="D5" s="15" t="s">
        <v>960</v>
      </c>
      <c r="E5" s="15" t="s">
        <v>961</v>
      </c>
      <c r="F5" s="15"/>
      <c r="G5" s="15"/>
      <c r="H5" s="15"/>
      <c r="I5" s="15" t="s">
        <v>962</v>
      </c>
      <c r="J5" s="15" t="s">
        <v>963</v>
      </c>
      <c r="K5" s="13" t="s">
        <v>964</v>
      </c>
    </row>
    <row r="6" customFormat="false" ht="23.85" hidden="false" customHeight="false" outlineLevel="0" collapsed="false">
      <c r="A6" s="15" t="s">
        <v>161</v>
      </c>
      <c r="B6" s="15" t="s">
        <v>690</v>
      </c>
      <c r="C6" s="15" t="s">
        <v>151</v>
      </c>
      <c r="D6" s="15" t="s">
        <v>965</v>
      </c>
      <c r="E6" s="15" t="s">
        <v>966</v>
      </c>
      <c r="F6" s="15" t="s">
        <v>967</v>
      </c>
      <c r="G6" s="15"/>
      <c r="H6" s="15"/>
      <c r="I6" s="15" t="s">
        <v>968</v>
      </c>
      <c r="J6" s="15" t="s">
        <v>969</v>
      </c>
      <c r="K6" s="13" t="s">
        <v>970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36"/>
  </cols>
  <sheetData>
    <row r="1" customFormat="false" ht="15" hidden="false" customHeight="false" outlineLevel="0" collapsed="false">
      <c r="A1" s="17" t="s">
        <v>971</v>
      </c>
      <c r="B1" s="17" t="s">
        <v>972</v>
      </c>
      <c r="C1" s="17" t="s">
        <v>973</v>
      </c>
      <c r="D1" s="17" t="s">
        <v>974</v>
      </c>
      <c r="E1" s="17" t="s">
        <v>975</v>
      </c>
      <c r="F1" s="17" t="s">
        <v>976</v>
      </c>
      <c r="G1" s="17" t="s">
        <v>977</v>
      </c>
    </row>
    <row r="2" customFormat="false" ht="29.85" hidden="false" customHeight="false" outlineLevel="0" collapsed="false">
      <c r="A2" s="15" t="s">
        <v>978</v>
      </c>
      <c r="B2" s="15" t="s">
        <v>979</v>
      </c>
      <c r="C2" s="15" t="s">
        <v>980</v>
      </c>
      <c r="D2" s="15" t="s">
        <v>981</v>
      </c>
      <c r="E2" s="15" t="s">
        <v>982</v>
      </c>
      <c r="F2" s="13" t="s">
        <v>983</v>
      </c>
      <c r="G2" s="13" t="s">
        <v>984</v>
      </c>
    </row>
    <row r="3" customFormat="false" ht="29.85" hidden="false" customHeight="false" outlineLevel="0" collapsed="false">
      <c r="A3" s="15" t="s">
        <v>985</v>
      </c>
      <c r="B3" s="13" t="s">
        <v>986</v>
      </c>
      <c r="C3" s="15" t="s">
        <v>980</v>
      </c>
      <c r="D3" s="15" t="s">
        <v>981</v>
      </c>
      <c r="E3" s="15" t="s">
        <v>987</v>
      </c>
      <c r="F3" s="13" t="s">
        <v>988</v>
      </c>
      <c r="G3" s="13" t="s">
        <v>989</v>
      </c>
    </row>
    <row r="4" customFormat="false" ht="29.85" hidden="false" customHeight="false" outlineLevel="0" collapsed="false">
      <c r="A4" s="15" t="s">
        <v>990</v>
      </c>
      <c r="B4" s="15" t="s">
        <v>991</v>
      </c>
      <c r="C4" s="15" t="s">
        <v>980</v>
      </c>
      <c r="D4" s="15" t="s">
        <v>992</v>
      </c>
      <c r="E4" s="15" t="s">
        <v>993</v>
      </c>
      <c r="F4" s="13" t="s">
        <v>994</v>
      </c>
      <c r="G4" s="13" t="s">
        <v>995</v>
      </c>
    </row>
    <row r="5" customFormat="false" ht="29.85" hidden="false" customHeight="false" outlineLevel="0" collapsed="false">
      <c r="A5" s="15" t="s">
        <v>996</v>
      </c>
      <c r="B5" s="15" t="s">
        <v>997</v>
      </c>
      <c r="C5" s="15" t="s">
        <v>927</v>
      </c>
      <c r="D5" s="15" t="s">
        <v>998</v>
      </c>
      <c r="E5" s="15" t="s">
        <v>999</v>
      </c>
      <c r="F5" s="13" t="s">
        <v>1000</v>
      </c>
      <c r="G5" s="13" t="s">
        <v>1001</v>
      </c>
    </row>
    <row r="6" customFormat="false" ht="15" hidden="false" customHeight="false" outlineLevel="0" collapsed="false">
      <c r="A6" s="15" t="s">
        <v>1002</v>
      </c>
      <c r="B6" s="13" t="s">
        <v>1003</v>
      </c>
      <c r="C6" s="15" t="s">
        <v>980</v>
      </c>
      <c r="D6" s="15" t="s">
        <v>1004</v>
      </c>
      <c r="E6" s="15" t="s">
        <v>1005</v>
      </c>
      <c r="F6" s="15" t="s">
        <v>1006</v>
      </c>
      <c r="G6" s="15" t="s">
        <v>1007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7" t="s">
        <v>1008</v>
      </c>
      <c r="B1" s="17" t="s">
        <v>1009</v>
      </c>
      <c r="C1" s="17" t="s">
        <v>972</v>
      </c>
      <c r="D1" s="17" t="s">
        <v>1010</v>
      </c>
      <c r="E1" s="17" t="s">
        <v>977</v>
      </c>
      <c r="F1" s="17" t="s">
        <v>1011</v>
      </c>
    </row>
    <row r="2" customFormat="false" ht="29.85" hidden="false" customHeight="false" outlineLevel="0" collapsed="false">
      <c r="A2" s="15" t="s">
        <v>1012</v>
      </c>
      <c r="B2" s="15" t="s">
        <v>1013</v>
      </c>
      <c r="C2" s="15" t="s">
        <v>1014</v>
      </c>
      <c r="D2" s="15" t="s">
        <v>1015</v>
      </c>
      <c r="E2" s="15" t="s">
        <v>1016</v>
      </c>
      <c r="F2" s="15" t="s">
        <v>1017</v>
      </c>
    </row>
    <row r="3" customFormat="false" ht="35.05" hidden="false" customHeight="false" outlineLevel="0" collapsed="false">
      <c r="A3" s="15" t="s">
        <v>1018</v>
      </c>
      <c r="B3" s="15" t="s">
        <v>1019</v>
      </c>
      <c r="C3" s="15" t="s">
        <v>1020</v>
      </c>
      <c r="D3" s="15" t="s">
        <v>1021</v>
      </c>
      <c r="E3" s="13" t="s">
        <v>1022</v>
      </c>
      <c r="F3" s="15" t="s">
        <v>1023</v>
      </c>
    </row>
    <row r="4" customFormat="false" ht="29.85" hidden="false" customHeight="false" outlineLevel="0" collapsed="false">
      <c r="A4" s="15" t="s">
        <v>1024</v>
      </c>
      <c r="B4" s="15" t="s">
        <v>1025</v>
      </c>
      <c r="C4" s="15" t="s">
        <v>1026</v>
      </c>
      <c r="D4" s="13" t="s">
        <v>1027</v>
      </c>
      <c r="E4" s="13" t="s">
        <v>1028</v>
      </c>
      <c r="F4" s="15" t="s">
        <v>1029</v>
      </c>
    </row>
    <row r="5" customFormat="false" ht="15" hidden="false" customHeight="false" outlineLevel="0" collapsed="false">
      <c r="A5" s="15" t="s">
        <v>1030</v>
      </c>
      <c r="B5" s="15" t="s">
        <v>1031</v>
      </c>
      <c r="C5" s="13" t="s">
        <v>1032</v>
      </c>
      <c r="D5" s="15" t="s">
        <v>1033</v>
      </c>
      <c r="E5" s="13" t="s">
        <v>1034</v>
      </c>
      <c r="F5" s="15" t="s">
        <v>1035</v>
      </c>
    </row>
    <row r="6" customFormat="false" ht="15" hidden="false" customHeight="false" outlineLevel="0" collapsed="false">
      <c r="A6" s="15" t="s">
        <v>1036</v>
      </c>
      <c r="B6" s="15" t="s">
        <v>1037</v>
      </c>
      <c r="C6" s="15" t="s">
        <v>1038</v>
      </c>
      <c r="D6" s="15" t="s">
        <v>1039</v>
      </c>
      <c r="E6" s="13" t="s">
        <v>1040</v>
      </c>
      <c r="F6" s="15" t="s">
        <v>1041</v>
      </c>
    </row>
    <row r="7" customFormat="false" ht="29.85" hidden="false" customHeight="false" outlineLevel="0" collapsed="false">
      <c r="A7" s="15" t="s">
        <v>1042</v>
      </c>
      <c r="B7" s="15" t="s">
        <v>1043</v>
      </c>
      <c r="C7" s="15" t="s">
        <v>1044</v>
      </c>
      <c r="D7" s="15" t="s">
        <v>1045</v>
      </c>
      <c r="E7" s="13" t="s">
        <v>1046</v>
      </c>
      <c r="F7" s="15" t="s">
        <v>1047</v>
      </c>
    </row>
    <row r="8" customFormat="false" ht="29.85" hidden="false" customHeight="false" outlineLevel="0" collapsed="false">
      <c r="A8" s="15" t="s">
        <v>1048</v>
      </c>
      <c r="B8" s="15" t="s">
        <v>1049</v>
      </c>
      <c r="C8" s="15" t="s">
        <v>1050</v>
      </c>
      <c r="D8" s="15" t="s">
        <v>1051</v>
      </c>
      <c r="E8" s="13" t="s">
        <v>1052</v>
      </c>
      <c r="F8" s="15" t="s">
        <v>1053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3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3"/>
    <col collapsed="false" customWidth="true" hidden="false" outlineLevel="0" max="7" min="7" style="0" width="22"/>
    <col collapsed="false" customWidth="true" hidden="false" outlineLevel="0" max="8" min="8" style="0" width="34"/>
    <col collapsed="false" customWidth="true" hidden="false" outlineLevel="0" max="9" min="9" style="0" width="3"/>
    <col collapsed="false" customWidth="true" hidden="false" outlineLevel="0" max="10" min="10" style="0" width="22"/>
    <col collapsed="false" customWidth="true" hidden="false" outlineLevel="0" max="11" min="11" style="0" width="34"/>
    <col collapsed="false" customWidth="true" hidden="false" outlineLevel="0" max="12" min="12" style="0" width="3"/>
    <col collapsed="false" customWidth="true" hidden="false" outlineLevel="0" max="13" min="13" style="0" width="22"/>
    <col collapsed="false" customWidth="true" hidden="false" outlineLevel="0" max="14" min="14" style="0" width="34"/>
    <col collapsed="false" customWidth="true" hidden="false" outlineLevel="0" max="15" min="15" style="0" width="3"/>
    <col collapsed="false" customWidth="true" hidden="false" outlineLevel="0" max="16" min="16" style="0" width="22"/>
    <col collapsed="false" customWidth="true" hidden="false" outlineLevel="0" max="17" min="17" style="0" width="34"/>
    <col collapsed="false" customWidth="true" hidden="false" outlineLevel="0" max="18" min="18" style="0" width="3"/>
    <col collapsed="false" customWidth="true" hidden="false" outlineLevel="0" max="19" min="19" style="0" width="22"/>
    <col collapsed="false" customWidth="true" hidden="false" outlineLevel="0" max="20" min="20" style="0" width="34"/>
    <col collapsed="false" customWidth="true" hidden="false" outlineLevel="0" max="21" min="21" style="0" width="3"/>
    <col collapsed="false" customWidth="true" hidden="false" outlineLevel="0" max="22" min="22" style="0" width="22"/>
    <col collapsed="false" customWidth="true" hidden="false" outlineLevel="0" max="23" min="23" style="0" width="34"/>
    <col collapsed="false" customWidth="true" hidden="false" outlineLevel="0" max="24" min="24" style="0" width="3"/>
    <col collapsed="false" customWidth="true" hidden="false" outlineLevel="0" max="25" min="25" style="0" width="22"/>
    <col collapsed="false" customWidth="true" hidden="false" outlineLevel="0" max="26" min="26" style="0" width="34"/>
    <col collapsed="false" customWidth="true" hidden="false" outlineLevel="0" max="27" min="27" style="0" width="3"/>
    <col collapsed="false" customWidth="true" hidden="false" outlineLevel="0" max="28" min="28" style="0" width="22"/>
    <col collapsed="false" customWidth="true" hidden="false" outlineLevel="0" max="29" min="29" style="0" width="34"/>
    <col collapsed="false" customWidth="true" hidden="false" outlineLevel="0" max="30" min="30" style="0" width="3"/>
    <col collapsed="false" customWidth="true" hidden="false" outlineLevel="0" max="31" min="31" style="0" width="22"/>
    <col collapsed="false" customWidth="true" hidden="false" outlineLevel="0" max="32" min="32" style="0" width="34"/>
    <col collapsed="false" customWidth="true" hidden="false" outlineLevel="0" max="33" min="33" style="0" width="3"/>
    <col collapsed="false" customWidth="true" hidden="false" outlineLevel="0" max="34" min="34" style="0" width="22"/>
    <col collapsed="false" customWidth="true" hidden="false" outlineLevel="0" max="35" min="35" style="0" width="34"/>
    <col collapsed="false" customWidth="true" hidden="false" outlineLevel="0" max="36" min="36" style="0" width="3"/>
    <col collapsed="false" customWidth="true" hidden="false" outlineLevel="0" max="37" min="37" style="0" width="22"/>
    <col collapsed="false" customWidth="true" hidden="false" outlineLevel="0" max="38" min="38" style="0" width="34"/>
    <col collapsed="false" customWidth="true" hidden="false" outlineLevel="0" max="39" min="39" style="0" width="3"/>
    <col collapsed="false" customWidth="true" hidden="false" outlineLevel="0" max="40" min="40" style="0" width="22"/>
    <col collapsed="false" customWidth="true" hidden="false" outlineLevel="0" max="41" min="41" style="0" width="34"/>
    <col collapsed="false" customWidth="true" hidden="false" outlineLevel="0" max="42" min="42" style="0" width="3"/>
  </cols>
  <sheetData>
    <row r="1" customFormat="false" ht="15" hidden="false" customHeight="false" outlineLevel="0" collapsed="false">
      <c r="A1" s="31" t="s">
        <v>119</v>
      </c>
      <c r="D1" s="31" t="s">
        <v>113</v>
      </c>
      <c r="G1" s="31" t="s">
        <v>114</v>
      </c>
      <c r="J1" s="31" t="s">
        <v>115</v>
      </c>
      <c r="M1" s="31" t="s">
        <v>116</v>
      </c>
      <c r="P1" s="31" t="s">
        <v>118</v>
      </c>
      <c r="S1" s="31" t="s">
        <v>132</v>
      </c>
      <c r="V1" s="31" t="s">
        <v>146</v>
      </c>
      <c r="Y1" s="31" t="s">
        <v>1054</v>
      </c>
      <c r="AB1" s="31" t="s">
        <v>662</v>
      </c>
      <c r="AE1" s="31" t="s">
        <v>938</v>
      </c>
      <c r="AH1" s="31" t="s">
        <v>112</v>
      </c>
      <c r="AK1" s="31" t="s">
        <v>111</v>
      </c>
      <c r="AN1" s="31" t="s">
        <v>1055</v>
      </c>
    </row>
    <row r="2" customFormat="false" ht="15" hidden="false" customHeight="false" outlineLevel="0" collapsed="false">
      <c r="A2" s="32" t="s">
        <v>1056</v>
      </c>
      <c r="B2" s="33" t="s">
        <v>59</v>
      </c>
      <c r="D2" s="32" t="s">
        <v>1056</v>
      </c>
      <c r="E2" s="33" t="s">
        <v>59</v>
      </c>
      <c r="G2" s="32" t="s">
        <v>1056</v>
      </c>
      <c r="H2" s="33" t="s">
        <v>59</v>
      </c>
      <c r="J2" s="32" t="s">
        <v>1056</v>
      </c>
      <c r="K2" s="33" t="s">
        <v>59</v>
      </c>
      <c r="M2" s="32" t="s">
        <v>1056</v>
      </c>
      <c r="N2" s="33" t="s">
        <v>59</v>
      </c>
      <c r="P2" s="32" t="s">
        <v>1056</v>
      </c>
      <c r="Q2" s="33" t="s">
        <v>59</v>
      </c>
      <c r="S2" s="32" t="s">
        <v>1056</v>
      </c>
      <c r="T2" s="33" t="s">
        <v>59</v>
      </c>
      <c r="V2" s="32" t="s">
        <v>1056</v>
      </c>
      <c r="W2" s="33" t="s">
        <v>59</v>
      </c>
      <c r="Y2" s="32" t="s">
        <v>1056</v>
      </c>
      <c r="Z2" s="33" t="s">
        <v>59</v>
      </c>
      <c r="AB2" s="32" t="s">
        <v>1056</v>
      </c>
      <c r="AC2" s="33" t="s">
        <v>59</v>
      </c>
      <c r="AE2" s="32" t="s">
        <v>1056</v>
      </c>
      <c r="AF2" s="33" t="s">
        <v>59</v>
      </c>
      <c r="AH2" s="32" t="s">
        <v>1056</v>
      </c>
      <c r="AI2" s="33" t="s">
        <v>59</v>
      </c>
      <c r="AK2" s="32" t="s">
        <v>1056</v>
      </c>
      <c r="AL2" s="33" t="s">
        <v>59</v>
      </c>
      <c r="AN2" s="32" t="s">
        <v>1056</v>
      </c>
      <c r="AO2" s="33" t="s">
        <v>59</v>
      </c>
    </row>
    <row r="3" customFormat="false" ht="29.85" hidden="false" customHeight="false" outlineLevel="0" collapsed="false">
      <c r="A3" s="34" t="s">
        <v>62</v>
      </c>
      <c r="B3" s="5" t="s">
        <v>1057</v>
      </c>
      <c r="D3" s="34" t="s">
        <v>154</v>
      </c>
      <c r="E3" s="5" t="s">
        <v>1058</v>
      </c>
      <c r="G3" s="34" t="s">
        <v>220</v>
      </c>
      <c r="H3" s="5" t="s">
        <v>1059</v>
      </c>
      <c r="J3" s="34" t="s">
        <v>265</v>
      </c>
      <c r="K3" s="5" t="s">
        <v>1060</v>
      </c>
      <c r="M3" s="34" t="s">
        <v>221</v>
      </c>
      <c r="N3" s="5" t="s">
        <v>1061</v>
      </c>
      <c r="P3" s="34" t="s">
        <v>171</v>
      </c>
      <c r="Q3" s="5" t="s">
        <v>1062</v>
      </c>
      <c r="S3" s="34" t="s">
        <v>163</v>
      </c>
      <c r="T3" s="4" t="s">
        <v>1063</v>
      </c>
      <c r="V3" s="34" t="s">
        <v>918</v>
      </c>
      <c r="W3" s="5" t="s">
        <v>1064</v>
      </c>
      <c r="Y3" s="34" t="s">
        <v>674</v>
      </c>
      <c r="Z3" s="4" t="s">
        <v>1065</v>
      </c>
      <c r="AB3" s="34" t="s">
        <v>675</v>
      </c>
      <c r="AC3" s="5" t="s">
        <v>1066</v>
      </c>
      <c r="AE3" s="34" t="s">
        <v>945</v>
      </c>
      <c r="AF3" s="4" t="s">
        <v>1067</v>
      </c>
      <c r="AH3" s="34" t="s">
        <v>828</v>
      </c>
      <c r="AI3" s="5" t="s">
        <v>1068</v>
      </c>
      <c r="AK3" s="34" t="s">
        <v>85</v>
      </c>
      <c r="AL3" s="5" t="s">
        <v>1069</v>
      </c>
      <c r="AN3" s="34" t="s">
        <v>292</v>
      </c>
      <c r="AO3" s="5" t="s">
        <v>1070</v>
      </c>
    </row>
    <row r="4" customFormat="false" ht="15" hidden="false" customHeight="false" outlineLevel="0" collapsed="false">
      <c r="A4" s="34" t="s">
        <v>64</v>
      </c>
      <c r="B4" s="5" t="s">
        <v>1071</v>
      </c>
      <c r="D4" s="34" t="s">
        <v>301</v>
      </c>
      <c r="E4" s="5" t="s">
        <v>1072</v>
      </c>
      <c r="G4" s="34" t="s">
        <v>228</v>
      </c>
      <c r="H4" s="4" t="s">
        <v>1073</v>
      </c>
      <c r="J4" s="34" t="s">
        <v>275</v>
      </c>
      <c r="K4" s="5" t="s">
        <v>1074</v>
      </c>
      <c r="M4" s="34" t="s">
        <v>242</v>
      </c>
      <c r="N4" s="5" t="s">
        <v>1075</v>
      </c>
      <c r="P4" s="34" t="s">
        <v>302</v>
      </c>
      <c r="Q4" s="5" t="s">
        <v>1076</v>
      </c>
      <c r="S4" s="34" t="s">
        <v>315</v>
      </c>
      <c r="T4" s="5" t="s">
        <v>1077</v>
      </c>
      <c r="V4" s="34" t="s">
        <v>11</v>
      </c>
      <c r="W4" s="4" t="s">
        <v>1078</v>
      </c>
      <c r="Y4" s="34" t="s">
        <v>687</v>
      </c>
      <c r="Z4" s="5" t="s">
        <v>1079</v>
      </c>
      <c r="AB4" s="34" t="s">
        <v>738</v>
      </c>
      <c r="AC4" s="5" t="s">
        <v>1080</v>
      </c>
      <c r="AE4" s="34" t="s">
        <v>1081</v>
      </c>
      <c r="AF4" s="4" t="s">
        <v>1082</v>
      </c>
      <c r="AH4" s="34" t="s">
        <v>859</v>
      </c>
      <c r="AI4" s="5" t="s">
        <v>1083</v>
      </c>
      <c r="AK4" s="34" t="s">
        <v>86</v>
      </c>
      <c r="AL4" s="4" t="s">
        <v>1084</v>
      </c>
      <c r="AN4" s="34" t="s">
        <v>554</v>
      </c>
      <c r="AO4" s="5" t="s">
        <v>1085</v>
      </c>
    </row>
    <row r="5" customFormat="false" ht="29.85" hidden="false" customHeight="false" outlineLevel="0" collapsed="false">
      <c r="A5" s="34" t="s">
        <v>66</v>
      </c>
      <c r="B5" s="5" t="s">
        <v>1086</v>
      </c>
      <c r="D5" s="34" t="s">
        <v>562</v>
      </c>
      <c r="E5" s="5" t="s">
        <v>1087</v>
      </c>
      <c r="G5" s="34" t="s">
        <v>230</v>
      </c>
      <c r="H5" s="4" t="s">
        <v>1088</v>
      </c>
      <c r="J5" s="34" t="s">
        <v>279</v>
      </c>
      <c r="K5" s="4" t="s">
        <v>1089</v>
      </c>
      <c r="M5" s="34" t="s">
        <v>233</v>
      </c>
      <c r="N5" s="4" t="s">
        <v>1090</v>
      </c>
      <c r="P5" s="34" t="s">
        <v>158</v>
      </c>
      <c r="Q5" s="5" t="s">
        <v>1091</v>
      </c>
      <c r="V5" s="34" t="s">
        <v>1092</v>
      </c>
      <c r="W5" s="4" t="s">
        <v>1093</v>
      </c>
      <c r="Y5" s="34" t="s">
        <v>714</v>
      </c>
      <c r="Z5" s="5" t="s">
        <v>1094</v>
      </c>
      <c r="AB5" s="34" t="s">
        <v>688</v>
      </c>
      <c r="AC5" s="5" t="s">
        <v>1095</v>
      </c>
      <c r="AE5" s="34" t="s">
        <v>1096</v>
      </c>
      <c r="AF5" s="5" t="s">
        <v>1097</v>
      </c>
      <c r="AH5" s="34" t="s">
        <v>871</v>
      </c>
      <c r="AI5" s="5" t="s">
        <v>1098</v>
      </c>
      <c r="AK5" s="34" t="s">
        <v>87</v>
      </c>
      <c r="AL5" s="5" t="s">
        <v>1099</v>
      </c>
    </row>
    <row r="6" customFormat="false" ht="15" hidden="false" customHeight="false" outlineLevel="0" collapsed="false">
      <c r="A6" s="34" t="s">
        <v>68</v>
      </c>
      <c r="B6" s="5" t="s">
        <v>1100</v>
      </c>
      <c r="D6" s="34" t="s">
        <v>570</v>
      </c>
      <c r="E6" s="5" t="s">
        <v>1101</v>
      </c>
      <c r="G6" s="34" t="s">
        <v>1102</v>
      </c>
      <c r="H6" s="5" t="s">
        <v>1103</v>
      </c>
      <c r="J6" s="34" t="s">
        <v>423</v>
      </c>
      <c r="K6" s="4" t="s">
        <v>1104</v>
      </c>
      <c r="M6" s="34" t="s">
        <v>1105</v>
      </c>
      <c r="N6" s="5" t="s">
        <v>1106</v>
      </c>
      <c r="V6" s="34" t="s">
        <v>1107</v>
      </c>
      <c r="W6" s="5" t="s">
        <v>1108</v>
      </c>
      <c r="Y6" s="34" t="s">
        <v>724</v>
      </c>
      <c r="Z6" s="5" t="s">
        <v>758</v>
      </c>
      <c r="AB6" s="34" t="s">
        <v>746</v>
      </c>
      <c r="AC6" s="5" t="s">
        <v>744</v>
      </c>
      <c r="AE6" s="34" t="s">
        <v>1109</v>
      </c>
      <c r="AF6" s="4" t="s">
        <v>1110</v>
      </c>
    </row>
    <row r="7" customFormat="false" ht="15" hidden="false" customHeight="false" outlineLevel="0" collapsed="false">
      <c r="A7" s="34" t="s">
        <v>70</v>
      </c>
      <c r="B7" s="5" t="s">
        <v>1111</v>
      </c>
      <c r="D7" s="34" t="s">
        <v>648</v>
      </c>
      <c r="E7" s="5" t="s">
        <v>1112</v>
      </c>
      <c r="G7" s="34" t="s">
        <v>1113</v>
      </c>
      <c r="H7" s="5" t="s">
        <v>1114</v>
      </c>
      <c r="J7" s="34" t="s">
        <v>1115</v>
      </c>
      <c r="K7" s="5" t="s">
        <v>1116</v>
      </c>
      <c r="M7" s="34" t="s">
        <v>1117</v>
      </c>
      <c r="N7" s="5" t="s">
        <v>1118</v>
      </c>
      <c r="V7" s="34" t="s">
        <v>1119</v>
      </c>
      <c r="W7" s="5" t="s">
        <v>1120</v>
      </c>
      <c r="Y7" s="34" t="s">
        <v>745</v>
      </c>
      <c r="Z7" s="5" t="s">
        <v>1121</v>
      </c>
      <c r="AB7" s="34" t="s">
        <v>715</v>
      </c>
      <c r="AC7" s="4" t="s">
        <v>1122</v>
      </c>
      <c r="AE7" s="34" t="s">
        <v>965</v>
      </c>
      <c r="AF7" s="4" t="s">
        <v>1123</v>
      </c>
    </row>
    <row r="8" customFormat="false" ht="15" hidden="false" customHeight="false" outlineLevel="0" collapsed="false">
      <c r="D8" s="34" t="s">
        <v>241</v>
      </c>
      <c r="E8" s="5" t="s">
        <v>1124</v>
      </c>
      <c r="G8" s="34" t="s">
        <v>1125</v>
      </c>
      <c r="H8" s="5" t="s">
        <v>1126</v>
      </c>
      <c r="J8" s="34" t="s">
        <v>156</v>
      </c>
      <c r="K8" s="5" t="s">
        <v>1127</v>
      </c>
      <c r="M8" s="34" t="s">
        <v>155</v>
      </c>
      <c r="N8" s="5" t="s">
        <v>69</v>
      </c>
      <c r="AE8" s="34" t="s">
        <v>1128</v>
      </c>
      <c r="AF8" s="5" t="s">
        <v>1129</v>
      </c>
    </row>
    <row r="9" customFormat="false" ht="15" hidden="false" customHeight="false" outlineLevel="0" collapsed="false">
      <c r="D9" s="34" t="s">
        <v>385</v>
      </c>
      <c r="E9" s="5" t="s">
        <v>1130</v>
      </c>
      <c r="G9" s="34" t="s">
        <v>374</v>
      </c>
      <c r="H9" s="5" t="s">
        <v>78</v>
      </c>
      <c r="J9" s="34" t="s">
        <v>1131</v>
      </c>
      <c r="K9" s="5" t="s">
        <v>1132</v>
      </c>
      <c r="AE9" s="34" t="s">
        <v>960</v>
      </c>
      <c r="AF9" s="5" t="s">
        <v>1133</v>
      </c>
    </row>
    <row r="10" customFormat="false" ht="15" hidden="false" customHeight="false" outlineLevel="0" collapsed="false">
      <c r="D10" s="34" t="s">
        <v>399</v>
      </c>
      <c r="E10" s="5" t="s">
        <v>1134</v>
      </c>
      <c r="G10" s="34" t="s">
        <v>155</v>
      </c>
      <c r="H10" s="5" t="s">
        <v>69</v>
      </c>
      <c r="J10" s="34" t="s">
        <v>155</v>
      </c>
      <c r="K10" s="5" t="s">
        <v>69</v>
      </c>
    </row>
    <row r="11" customFormat="false" ht="15" hidden="false" customHeight="false" outlineLevel="0" collapsed="false">
      <c r="D11" s="34" t="s">
        <v>256</v>
      </c>
      <c r="E11" s="5" t="s">
        <v>1135</v>
      </c>
    </row>
    <row r="12" customFormat="false" ht="15" hidden="false" customHeight="false" outlineLevel="0" collapsed="false">
      <c r="D12" s="34" t="s">
        <v>409</v>
      </c>
      <c r="E12" s="5" t="s">
        <v>1136</v>
      </c>
    </row>
    <row r="13" customFormat="false" ht="15" hidden="false" customHeight="false" outlineLevel="0" collapsed="false">
      <c r="D13" s="34" t="s">
        <v>323</v>
      </c>
      <c r="E13" s="5" t="s">
        <v>1137</v>
      </c>
    </row>
    <row r="14" customFormat="false" ht="15" hidden="false" customHeight="false" outlineLevel="0" collapsed="false">
      <c r="D14" s="34" t="s">
        <v>155</v>
      </c>
      <c r="E14" s="5" t="s">
        <v>1138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2026-10-02T03:03:14Z</dcterms:created>
  <dc:creator>openpyxl</dc:creator>
  <dc:description/>
  <dc:language>en-US</dc:language>
  <cp:lastModifiedBy/>
  <dcterms:modified xsi:type="dcterms:W3CDTF">2026-10-02T03:03:14Z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